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uas" sheetId="1" state="visible" r:id="rId3"/>
    <sheet name="A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<sst xmlns="http://schemas.openxmlformats.org/spreadsheetml/2006/main" count="67" uniqueCount="67">
  <si>
    <t xml:space="preserve">Idade</t>
  </si>
  <si>
    <t xml:space="preserve">IBGE 2024 Extrap M</t>
  </si>
  <si>
    <t xml:space="preserve">IBGE 2023 M</t>
  </si>
  <si>
    <t xml:space="preserve">IBGE 2023 Extrap M</t>
  </si>
  <si>
    <t xml:space="preserve">IBGE 2022 M</t>
  </si>
  <si>
    <t xml:space="preserve">IBGE 2022 Extrap M</t>
  </si>
  <si>
    <t xml:space="preserve">IBGE 2022 Extrap M Suav 7,5%</t>
  </si>
  <si>
    <t xml:space="preserve">IBGE 2021 M</t>
  </si>
  <si>
    <t xml:space="preserve">IBGE 2021 Extrap M</t>
  </si>
  <si>
    <t xml:space="preserve">IBGE 2021 Extrap M Suav 1%</t>
  </si>
  <si>
    <t xml:space="preserve">IBGE 2020 Extrap. M</t>
  </si>
  <si>
    <t xml:space="preserve">IBGE 2019 Extrap. A</t>
  </si>
  <si>
    <t xml:space="preserve">IBGE 2019 Extrap. A Agrav 19%</t>
  </si>
  <si>
    <t xml:space="preserve">IBGE 2019 Extrap. A Agrav 18,3%</t>
  </si>
  <si>
    <t xml:space="preserve">IBGE 2019 Extrap. M</t>
  </si>
  <si>
    <t xml:space="preserve">IBGE 2018 Extrap. A</t>
  </si>
  <si>
    <t xml:space="preserve">IBGE 2018 Extrap. M</t>
  </si>
  <si>
    <t xml:space="preserve">IBGE 2018 Extrap. M Suave 2,5%</t>
  </si>
  <si>
    <t xml:space="preserve">AT-2000 (Suav 10%) M</t>
  </si>
  <si>
    <t xml:space="preserve">AT-2000 M</t>
  </si>
  <si>
    <t xml:space="preserve">AT-2000 M Agrav. 33%</t>
  </si>
  <si>
    <t xml:space="preserve">AT-49 M</t>
  </si>
  <si>
    <t xml:space="preserve">AT-50</t>
  </si>
  <si>
    <t xml:space="preserve">AT-55</t>
  </si>
  <si>
    <t xml:space="preserve">AT-55 Suave 5%</t>
  </si>
  <si>
    <t xml:space="preserve">AT-83 Basic M</t>
  </si>
  <si>
    <t xml:space="preserve">AT-83 Basic M Suave 2,5%</t>
  </si>
  <si>
    <t xml:space="preserve">AT-83 IAM M</t>
  </si>
  <si>
    <t xml:space="preserve">BR-EMSmt-v.2021 M</t>
  </si>
  <si>
    <t xml:space="preserve">BR-EMSmt-v.2021 M Agrav 10%</t>
  </si>
  <si>
    <t xml:space="preserve">BR-EMSmt-v.2021 M Agrav 15%</t>
  </si>
  <si>
    <t xml:space="preserve">BR-EMSmt-v.2021 M Agrav 20%</t>
  </si>
  <si>
    <t xml:space="preserve">BR-EMSmt-v.2021 M Agrav 24%</t>
  </si>
  <si>
    <t xml:space="preserve">CDG-60</t>
  </si>
  <si>
    <t xml:space="preserve">GAM-71 M</t>
  </si>
  <si>
    <t xml:space="preserve">CSO80</t>
  </si>
  <si>
    <t xml:space="preserve">GKM-70</t>
  </si>
  <si>
    <t xml:space="preserve">GKM-95</t>
  </si>
  <si>
    <t xml:space="preserve">GR-95 M</t>
  </si>
  <si>
    <t xml:space="preserve">Prudential-50</t>
  </si>
  <si>
    <t xml:space="preserve">Prudential-50 Suav. 16%</t>
  </si>
  <si>
    <t xml:space="preserve">Prudential-50 Suav. 17%</t>
  </si>
  <si>
    <t xml:space="preserve">Prudential-50 Suav. 18%</t>
  </si>
  <si>
    <t xml:space="preserve">Prudential-50 Suav. 19%</t>
  </si>
  <si>
    <t xml:space="preserve">Prudential-50 Suav. 19,5%</t>
  </si>
  <si>
    <t xml:space="preserve">Prudential-50 Suav. 20%</t>
  </si>
  <si>
    <t xml:space="preserve">AMERICAN EXPERIENCE</t>
  </si>
  <si>
    <t xml:space="preserve">RP-2000 M</t>
  </si>
  <si>
    <t xml:space="preserve">SGB-75</t>
  </si>
  <si>
    <t xml:space="preserve">Rentiers Francais</t>
  </si>
  <si>
    <t xml:space="preserve">UP - 94 M</t>
  </si>
  <si>
    <t xml:space="preserve">USTP - 61</t>
  </si>
  <si>
    <t xml:space="preserve">2012 AIM table M</t>
  </si>
  <si>
    <t xml:space="preserve">CL5</t>
  </si>
  <si>
    <t xml:space="preserve">CL6</t>
  </si>
  <si>
    <t xml:space="preserve">Hunter Semitropical</t>
  </si>
  <si>
    <t xml:space="preserve">Grupal Americana</t>
  </si>
  <si>
    <t xml:space="preserve">BR-EMSmt 2015 M</t>
  </si>
  <si>
    <t xml:space="preserve">BR-EMSmt 2015 M Agrav 20%</t>
  </si>
  <si>
    <t xml:space="preserve">BR-EMSmt 2015 M Agrav 25%</t>
  </si>
  <si>
    <t xml:space="preserve">BREMSsb 2015 M</t>
  </si>
  <si>
    <t xml:space="preserve">TR 2025</t>
  </si>
  <si>
    <t xml:space="preserve">Petros</t>
  </si>
  <si>
    <t xml:space="preserve">M-95 H</t>
  </si>
  <si>
    <t xml:space="preserve">M-95 H Suave 6%</t>
  </si>
  <si>
    <t xml:space="preserve">x</t>
  </si>
  <si>
    <t xml:space="preserve">sx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</si>
</sst>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00"/>
    <numFmt numFmtId="166" formatCode="0.000000"/>
    <numFmt numFmtId="167" formatCode="0.000000000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1000"/>
  <sheetViews>
    <sheetView showFormulas="false" showGridLines="true" showRowColHeaders="true" showZeros="true" rightToLeft="false" tabSelected="true" showOutlineSymbols="true" defaultGridColor="true" view="normal" topLeftCell="AD1" colorId="64" zoomScale="100" zoomScaleNormal="100" zoomScalePageLayoutView="100" workbookViewId="0">
      <selection pane="topLeft" activeCell="AF5" activeCellId="0" sqref="AF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5.78"/>
    <col collapsed="false" customWidth="true" hidden="false" outlineLevel="0" max="2" min="2" style="1" width="17.33"/>
    <col collapsed="false" customWidth="true" hidden="false" outlineLevel="0" max="3" min="3" style="1" width="12.44"/>
    <col collapsed="false" customWidth="true" hidden="false" outlineLevel="0" max="4" min="4" style="1" width="17.33"/>
    <col collapsed="false" customWidth="true" hidden="false" outlineLevel="0" max="5" min="5" style="1" width="12.44"/>
    <col collapsed="false" customWidth="true" hidden="false" outlineLevel="0" max="6" min="6" style="1" width="17.33"/>
    <col collapsed="false" customWidth="true" hidden="false" outlineLevel="0" max="7" min="7" style="1" width="26.56"/>
    <col collapsed="false" customWidth="true" hidden="false" outlineLevel="0" max="8" min="8" style="1" width="12.44"/>
    <col collapsed="false" customWidth="true" hidden="false" outlineLevel="0" max="9" min="9" style="1" width="17.33"/>
    <col collapsed="false" customWidth="true" hidden="false" outlineLevel="0" max="10" min="10" style="1" width="25"/>
    <col collapsed="false" customWidth="true" hidden="false" outlineLevel="0" max="11" min="11" style="1" width="17.88"/>
    <col collapsed="false" customWidth="true" hidden="false" outlineLevel="0" max="12" min="12" style="1" width="17.44"/>
    <col collapsed="false" customWidth="true" hidden="false" outlineLevel="0" max="14" min="13" style="1" width="26.2"/>
    <col collapsed="false" customWidth="true" hidden="false" outlineLevel="0" max="15" min="15" style="1" width="17.88"/>
    <col collapsed="false" customWidth="true" hidden="false" outlineLevel="0" max="16" min="16" style="1" width="17.44"/>
    <col collapsed="false" customWidth="true" hidden="false" outlineLevel="0" max="17" min="17" style="1" width="17.88"/>
    <col collapsed="false" customWidth="true" hidden="false" outlineLevel="0" max="18" min="18" style="1" width="28.22"/>
    <col collapsed="false" customWidth="true" hidden="false" outlineLevel="0" max="19" min="19" style="1" width="19.88"/>
    <col collapsed="false" customWidth="true" hidden="false" outlineLevel="0" max="20" min="20" style="1" width="12.44"/>
    <col collapsed="false" customWidth="true" hidden="false" outlineLevel="0" max="21" min="21" style="1" width="19.56"/>
    <col collapsed="false" customWidth="true" hidden="false" outlineLevel="0" max="24" min="22" style="1" width="12.44"/>
    <col collapsed="false" customWidth="true" hidden="false" outlineLevel="0" max="27" min="26" style="1" width="12.76"/>
    <col collapsed="false" customWidth="true" hidden="false" outlineLevel="0" max="28" min="28" style="1" width="12.44"/>
    <col collapsed="false" customWidth="true" hidden="false" outlineLevel="0" max="29" min="29" style="1" width="18.34"/>
    <col collapsed="false" customWidth="true" hidden="false" outlineLevel="0" max="32" min="30" style="1" width="26.93"/>
    <col collapsed="false" customWidth="true" hidden="false" outlineLevel="0" max="33" min="33" style="1" width="26.77"/>
    <col collapsed="false" customWidth="true" hidden="false" outlineLevel="0" max="40" min="34" style="1" width="12.44"/>
    <col collapsed="false" customWidth="true" hidden="false" outlineLevel="0" max="46" min="41" style="1" width="19.79"/>
    <col collapsed="false" customWidth="true" hidden="false" outlineLevel="0" max="47" min="47" style="1" width="20.78"/>
    <col collapsed="false" customWidth="true" hidden="false" outlineLevel="0" max="49" min="48" style="1" width="12.44"/>
    <col collapsed="false" customWidth="true" hidden="false" outlineLevel="0" max="50" min="50" style="1" width="15.66"/>
    <col collapsed="false" customWidth="true" hidden="false" outlineLevel="0" max="51" min="51" style="1" width="12.44"/>
    <col collapsed="false" customWidth="true" hidden="false" outlineLevel="0" max="52" min="52" style="1" width="8.76"/>
    <col collapsed="false" customWidth="true" hidden="false" outlineLevel="0" max="53" min="53" style="1" width="15.78"/>
    <col collapsed="false" customWidth="true" hidden="false" outlineLevel="0" max="55" min="54" style="1" width="8.44"/>
    <col collapsed="false" customWidth="true" hidden="false" outlineLevel="0" max="56" min="56" style="1" width="18.44"/>
    <col collapsed="false" customWidth="true" hidden="false" outlineLevel="0" max="57" min="57" style="1" width="16.33"/>
    <col collapsed="false" customWidth="true" hidden="false" outlineLevel="0" max="58" min="58" style="1" width="15.66"/>
    <col collapsed="false" customWidth="true" hidden="false" outlineLevel="0" max="61" min="59" style="1" width="15.22"/>
    <col collapsed="false" customWidth="true" hidden="false" outlineLevel="0" max="64" min="62" style="1" width="8.44"/>
    <col collapsed="false" customWidth="true" hidden="false" outlineLevel="0" max="65" min="65" style="1" width="15.5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</row>
    <row r="2" customFormat="false" ht="15" hidden="false" customHeight="false" outlineLevel="0" collapsed="false">
      <c r="A2" s="2" t="n">
        <v>0</v>
      </c>
      <c r="B2" s="2" t="n">
        <v>0.01324798</v>
      </c>
      <c r="C2" s="4" t="n">
        <v>0.01347191985</v>
      </c>
      <c r="D2" s="4" t="n">
        <v>0.01347192</v>
      </c>
      <c r="E2" s="4" t="n">
        <v>0.01394</v>
      </c>
      <c r="F2" s="4" t="n">
        <v>0.01394032</v>
      </c>
      <c r="G2" s="4" t="n">
        <v>0.012894796</v>
      </c>
      <c r="H2" s="4" t="n">
        <v>0.0120446116060142</v>
      </c>
      <c r="I2" s="4" t="n">
        <v>0.01242602</v>
      </c>
      <c r="J2" s="4" t="n">
        <v>0.0123017598</v>
      </c>
      <c r="K2" s="4" t="n">
        <v>0.012426023222106</v>
      </c>
      <c r="L2" s="5" t="n">
        <v>0.011937616950365</v>
      </c>
      <c r="M2" s="5" t="n">
        <f aca="false">L2/(1-0.19)</f>
        <v>0.0147377987041544</v>
      </c>
      <c r="N2" s="5" t="n">
        <f aca="false">L2/(1-0.183)</f>
        <v>0.0146115262550368</v>
      </c>
      <c r="O2" s="5" t="n">
        <v>0.0128462639943163</v>
      </c>
      <c r="P2" s="5" t="n">
        <v>0.0123582605937503</v>
      </c>
      <c r="Q2" s="5" t="n">
        <v>0.0133052508904772</v>
      </c>
      <c r="R2" s="5" t="n">
        <v>0.0129726196182153</v>
      </c>
      <c r="S2" s="4" t="n">
        <v>0.00208</v>
      </c>
      <c r="T2" s="4" t="n">
        <v>0.002311</v>
      </c>
      <c r="U2" s="4" t="n">
        <f aca="false">T2/(1-0.33)</f>
        <v>0.00344925373134328</v>
      </c>
      <c r="V2" s="4" t="n">
        <v>0.00404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0.00269</v>
      </c>
      <c r="AC2" s="4" t="n">
        <v>0.0003707975</v>
      </c>
      <c r="AD2" s="4" t="n">
        <f aca="false">AC2/(1-0.1)</f>
        <v>0.000411997222222222</v>
      </c>
      <c r="AE2" s="4" t="n">
        <f aca="false">AC2/(1-0.15)</f>
        <v>0.000436232352941176</v>
      </c>
      <c r="AF2" s="4" t="n">
        <f aca="false">AC2/(1-0.2)</f>
        <v>0.000463496875</v>
      </c>
      <c r="AG2" s="4" t="n">
        <f aca="false">AC2/(1-0.24)</f>
        <v>0.000487891447368421</v>
      </c>
      <c r="AH2" s="4" t="n">
        <v>0.00832</v>
      </c>
      <c r="AI2" s="4" t="n">
        <v>0.003255</v>
      </c>
      <c r="AJ2" s="4" t="n">
        <v>0.00418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0.1547</v>
      </c>
      <c r="AV2" s="4" t="n">
        <v>0</v>
      </c>
      <c r="AW2" s="4" t="n">
        <v>0</v>
      </c>
      <c r="AX2" s="4" t="n">
        <v>0.03602</v>
      </c>
      <c r="AY2" s="4" t="n">
        <v>0</v>
      </c>
      <c r="AZ2" s="5" t="n">
        <v>0</v>
      </c>
      <c r="BA2" s="5" t="n">
        <v>0.001783</v>
      </c>
      <c r="BB2" s="5" t="n">
        <v>0.000566</v>
      </c>
      <c r="BC2" s="5" t="n">
        <v>0.000453</v>
      </c>
      <c r="BD2" s="5" t="n">
        <v>0</v>
      </c>
      <c r="BE2" s="5" t="n">
        <v>0</v>
      </c>
      <c r="BF2" s="5" t="n">
        <v>0.0003911</v>
      </c>
      <c r="BG2" s="5" t="n">
        <f aca="false">BF2/(1-0.2)</f>
        <v>0.000488875</v>
      </c>
      <c r="BH2" s="5" t="n">
        <f aca="false">BF2/(1-0.25)</f>
        <v>0.000521466666666667</v>
      </c>
      <c r="BI2" s="5" t="n">
        <v>0.0003372</v>
      </c>
      <c r="BJ2" s="5" t="n">
        <v>0.006064</v>
      </c>
      <c r="BK2" s="5" t="n">
        <v>0</v>
      </c>
      <c r="BL2" s="5" t="n">
        <v>0.00148481</v>
      </c>
      <c r="BM2" s="5" t="n">
        <v>0.0013957214</v>
      </c>
    </row>
    <row r="3" customFormat="false" ht="15" hidden="false" customHeight="false" outlineLevel="0" collapsed="false">
      <c r="A3" s="2" t="n">
        <v>1</v>
      </c>
      <c r="B3" s="2" t="n">
        <v>0.00078385</v>
      </c>
      <c r="C3" s="4" t="n">
        <v>0.0007957311893</v>
      </c>
      <c r="D3" s="4" t="n">
        <v>0.00079573</v>
      </c>
      <c r="E3" s="4" t="n">
        <v>0.000935</v>
      </c>
      <c r="F3" s="4" t="n">
        <v>0.00093524</v>
      </c>
      <c r="G3" s="4" t="n">
        <v>0.000865097</v>
      </c>
      <c r="H3" s="4" t="n">
        <v>0.000830889358019387</v>
      </c>
      <c r="I3" s="4" t="n">
        <v>0.00086054</v>
      </c>
      <c r="J3" s="4" t="n">
        <v>0.0008519346</v>
      </c>
      <c r="K3" s="4" t="n">
        <v>0.000860536127940502</v>
      </c>
      <c r="L3" s="5" t="n">
        <v>0.000796174041317831</v>
      </c>
      <c r="M3" s="5" t="n">
        <f aca="false">L3/(1-0.19)</f>
        <v>0.000982930915207199</v>
      </c>
      <c r="N3" s="5" t="n">
        <f aca="false">L3/(1-0.183)</f>
        <v>0.000974509230499182</v>
      </c>
      <c r="O3" s="5" t="n">
        <v>0.000883489095999415</v>
      </c>
      <c r="P3" s="5" t="n">
        <v>0.000841265948111714</v>
      </c>
      <c r="Q3" s="5" t="n">
        <v>0.000912361090170241</v>
      </c>
      <c r="R3" s="5" t="n">
        <v>0.000889552062915985</v>
      </c>
      <c r="S3" s="4" t="n">
        <v>0.000815</v>
      </c>
      <c r="T3" s="4" t="n">
        <v>0.000906</v>
      </c>
      <c r="U3" s="4" t="n">
        <f aca="false">T3/(1-0.33)</f>
        <v>0.00135223880597015</v>
      </c>
      <c r="V3" s="4" t="n">
        <v>0.00158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0.001053</v>
      </c>
      <c r="AC3" s="4" t="n">
        <v>0.000242085</v>
      </c>
      <c r="AD3" s="4" t="n">
        <f aca="false">AC3/(1-0.1)</f>
        <v>0.000268983333333333</v>
      </c>
      <c r="AE3" s="4" t="n">
        <f aca="false">AC3/(1-0.15)</f>
        <v>0.000284805882352941</v>
      </c>
      <c r="AF3" s="4" t="n">
        <f aca="false">AC3/(1-0.2)</f>
        <v>0.00030260625</v>
      </c>
      <c r="AG3" s="4" t="n">
        <f aca="false">AC3/(1-0.24)</f>
        <v>0.000318532894736842</v>
      </c>
      <c r="AH3" s="4" t="n">
        <v>0.00207</v>
      </c>
      <c r="AI3" s="4" t="n">
        <v>0.001274</v>
      </c>
      <c r="AJ3" s="4" t="n">
        <v>0.00107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0.06349</v>
      </c>
      <c r="AV3" s="4" t="n">
        <v>0.000637</v>
      </c>
      <c r="AW3" s="4" t="n">
        <v>0</v>
      </c>
      <c r="AX3" s="4" t="n">
        <v>0.02749</v>
      </c>
      <c r="AY3" s="4" t="n">
        <v>0.000637</v>
      </c>
      <c r="AZ3" s="5" t="n">
        <v>0</v>
      </c>
      <c r="BA3" s="5" t="n">
        <v>0.000446</v>
      </c>
      <c r="BB3" s="5" t="n">
        <v>0.000386</v>
      </c>
      <c r="BC3" s="5" t="n">
        <v>0.000289</v>
      </c>
      <c r="BD3" s="5" t="n">
        <v>0</v>
      </c>
      <c r="BE3" s="5" t="n">
        <v>0</v>
      </c>
      <c r="BF3" s="5" t="n">
        <v>0.0002025</v>
      </c>
      <c r="BG3" s="5" t="n">
        <f aca="false">BF3/(1-0.2)</f>
        <v>0.000253125</v>
      </c>
      <c r="BH3" s="5" t="n">
        <f aca="false">BF3/(1-0.25)</f>
        <v>0.00027</v>
      </c>
      <c r="BI3" s="5" t="n">
        <v>0.0001568</v>
      </c>
      <c r="BJ3" s="5" t="n">
        <v>0.000491</v>
      </c>
      <c r="BK3" s="5" t="n">
        <v>0</v>
      </c>
      <c r="BL3" s="5" t="n">
        <v>0.00148535</v>
      </c>
      <c r="BM3" s="5" t="n">
        <v>0.001396229</v>
      </c>
    </row>
    <row r="4" customFormat="false" ht="15" hidden="false" customHeight="false" outlineLevel="0" collapsed="false">
      <c r="A4" s="2" t="n">
        <v>2</v>
      </c>
      <c r="B4" s="2" t="n">
        <v>0.00062726</v>
      </c>
      <c r="C4" s="4" t="n">
        <v>0.0006361505039</v>
      </c>
      <c r="D4" s="4" t="n">
        <v>0.00063615</v>
      </c>
      <c r="E4" s="4" t="n">
        <v>0.000719</v>
      </c>
      <c r="F4" s="4" t="n">
        <v>0.00071899</v>
      </c>
      <c r="G4" s="4" t="n">
        <v>0.00066506575</v>
      </c>
      <c r="H4" s="4" t="n">
        <v>0.000549845918023319</v>
      </c>
      <c r="I4" s="4" t="n">
        <v>0.00057027</v>
      </c>
      <c r="J4" s="4" t="n">
        <v>0.0005645673</v>
      </c>
      <c r="K4" s="4" t="n">
        <v>0.000570273752423673</v>
      </c>
      <c r="L4" s="5" t="n">
        <v>0.00051808674327803</v>
      </c>
      <c r="M4" s="5" t="n">
        <f aca="false">L4/(1-0.19)</f>
        <v>0.00063961326330621</v>
      </c>
      <c r="N4" s="5" t="n">
        <f aca="false">L4/(1-0.183)</f>
        <v>0.000634133100707504</v>
      </c>
      <c r="O4" s="5" t="n">
        <v>0.00058008551784518</v>
      </c>
      <c r="P4" s="5" t="n">
        <v>0.000537588303250017</v>
      </c>
      <c r="Q4" s="5" t="n">
        <v>0.000600557274866594</v>
      </c>
      <c r="R4" s="5" t="n">
        <v>0.000585543342994929</v>
      </c>
      <c r="S4" s="4" t="n">
        <v>0.000454</v>
      </c>
      <c r="T4" s="4" t="n">
        <v>0.000504</v>
      </c>
      <c r="U4" s="4" t="n">
        <f aca="false">T4/(1-0.33)</f>
        <v>0.000752238805970149</v>
      </c>
      <c r="V4" s="4" t="n">
        <v>0.000887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0.000591</v>
      </c>
      <c r="AC4" s="4" t="n">
        <v>0.0002129199</v>
      </c>
      <c r="AD4" s="4" t="n">
        <f aca="false">AC4/(1-0.1)</f>
        <v>0.000236577666666667</v>
      </c>
      <c r="AE4" s="4" t="n">
        <f aca="false">AC4/(1-0.15)</f>
        <v>0.000250494</v>
      </c>
      <c r="AF4" s="4" t="n">
        <f aca="false">AC4/(1-0.2)</f>
        <v>0.000266149875</v>
      </c>
      <c r="AG4" s="4" t="n">
        <f aca="false">AC4/(1-0.24)</f>
        <v>0.000280157763157895</v>
      </c>
      <c r="AH4" s="4" t="n">
        <v>0.00179</v>
      </c>
      <c r="AI4" s="4" t="n">
        <v>0.000715</v>
      </c>
      <c r="AJ4" s="4" t="n">
        <v>0.00099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0.0355</v>
      </c>
      <c r="AV4" s="4" t="n">
        <v>0.00043</v>
      </c>
      <c r="AW4" s="4" t="n">
        <v>0</v>
      </c>
      <c r="AX4" s="4" t="n">
        <v>0.02085</v>
      </c>
      <c r="AY4" s="4" t="n">
        <v>0.00043</v>
      </c>
      <c r="AZ4" s="5" t="n">
        <v>0</v>
      </c>
      <c r="BA4" s="5" t="n">
        <v>0.000306</v>
      </c>
      <c r="BB4" s="5" t="n">
        <v>0.000268</v>
      </c>
      <c r="BC4" s="5" t="n">
        <v>0.000184</v>
      </c>
      <c r="BD4" s="5" t="n">
        <v>0</v>
      </c>
      <c r="BE4" s="5" t="n">
        <v>0</v>
      </c>
      <c r="BF4" s="5" t="n">
        <v>0.000135</v>
      </c>
      <c r="BG4" s="5" t="n">
        <f aca="false">BF4/(1-0.2)</f>
        <v>0.00016875</v>
      </c>
      <c r="BH4" s="5" t="n">
        <f aca="false">BF4/(1-0.25)</f>
        <v>0.00018</v>
      </c>
      <c r="BI4" s="5" t="n">
        <v>9.41E-005</v>
      </c>
      <c r="BJ4" s="5" t="n">
        <v>0.000309</v>
      </c>
      <c r="BK4" s="5" t="n">
        <v>0</v>
      </c>
      <c r="BL4" s="5" t="n">
        <v>0.00148597</v>
      </c>
      <c r="BM4" s="5" t="n">
        <v>0.0013968118</v>
      </c>
    </row>
    <row r="5" customFormat="false" ht="15" hidden="false" customHeight="false" outlineLevel="0" collapsed="false">
      <c r="A5" s="2" t="n">
        <v>3</v>
      </c>
      <c r="B5" s="2" t="n">
        <v>0.00050384</v>
      </c>
      <c r="C5" s="4" t="n">
        <v>0.0005105154483</v>
      </c>
      <c r="D5" s="4" t="n">
        <v>0.00051052</v>
      </c>
      <c r="E5" s="4" t="n">
        <v>0.000556</v>
      </c>
      <c r="F5" s="4" t="n">
        <v>0.00055583</v>
      </c>
      <c r="G5" s="4" t="n">
        <v>0.00051414275</v>
      </c>
      <c r="H5" s="4" t="n">
        <v>0.000425274540799967</v>
      </c>
      <c r="I5" s="4" t="n">
        <v>0.00044147</v>
      </c>
      <c r="J5" s="4" t="n">
        <v>0.0004370553</v>
      </c>
      <c r="K5" s="4" t="n">
        <v>0.000441466147736537</v>
      </c>
      <c r="L5" s="5" t="n">
        <v>0.000397085601067036</v>
      </c>
      <c r="M5" s="5" t="n">
        <f aca="false">L5/(1-0.19)</f>
        <v>0.000490229137119798</v>
      </c>
      <c r="N5" s="5" t="n">
        <f aca="false">L5/(1-0.183)</f>
        <v>0.000486028887474953</v>
      </c>
      <c r="O5" s="5" t="n">
        <v>0.000446318204562048</v>
      </c>
      <c r="P5" s="5" t="n">
        <v>0.000407134956496273</v>
      </c>
      <c r="Q5" s="5" t="n">
        <v>0.000462822868697529</v>
      </c>
      <c r="R5" s="5" t="n">
        <v>0.000451252296980091</v>
      </c>
      <c r="S5" s="4" t="n">
        <v>0.000367</v>
      </c>
      <c r="T5" s="4" t="n">
        <v>0.000408</v>
      </c>
      <c r="U5" s="4" t="n">
        <f aca="false">T5/(1-0.33)</f>
        <v>0.000608955223880597</v>
      </c>
      <c r="V5" s="4" t="n">
        <v>0.000715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0.000476</v>
      </c>
      <c r="AC5" s="4" t="n">
        <v>0.0001991131</v>
      </c>
      <c r="AD5" s="4" t="n">
        <f aca="false">AC5/(1-0.1)</f>
        <v>0.000221236777777778</v>
      </c>
      <c r="AE5" s="4" t="n">
        <f aca="false">AC5/(1-0.15)</f>
        <v>0.000234250705882353</v>
      </c>
      <c r="AF5" s="4" t="n">
        <f aca="false">AC5/(1-0.2)</f>
        <v>0.000248891375</v>
      </c>
      <c r="AG5" s="4" t="n">
        <f aca="false">AC5/(1-0.24)</f>
        <v>0.000261990921052632</v>
      </c>
      <c r="AH5" s="4" t="n">
        <v>0.00172</v>
      </c>
      <c r="AI5" s="4" t="n">
        <v>0.000576</v>
      </c>
      <c r="AJ5" s="4" t="n">
        <v>0.00098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0.02391</v>
      </c>
      <c r="AV5" s="4" t="n">
        <v>0.000357</v>
      </c>
      <c r="AW5" s="4" t="n">
        <v>0</v>
      </c>
      <c r="AX5" s="4" t="n">
        <v>0.01575</v>
      </c>
      <c r="AY5" s="4" t="n">
        <v>0.000357</v>
      </c>
      <c r="AZ5" s="5" t="n">
        <v>0</v>
      </c>
      <c r="BA5" s="5" t="n">
        <v>0.000254</v>
      </c>
      <c r="BB5" s="5" t="n">
        <v>0.000196</v>
      </c>
      <c r="BC5" s="5" t="n">
        <v>0.000124</v>
      </c>
      <c r="BD5" s="5" t="n">
        <v>0</v>
      </c>
      <c r="BE5" s="5" t="n">
        <v>0</v>
      </c>
      <c r="BF5" s="5" t="n">
        <v>0.0001068</v>
      </c>
      <c r="BG5" s="5" t="n">
        <f aca="false">BF5/(1-0.2)</f>
        <v>0.0001335</v>
      </c>
      <c r="BH5" s="5" t="n">
        <f aca="false">BF5/(1-0.25)</f>
        <v>0.0001424</v>
      </c>
      <c r="BI5" s="5" t="n">
        <v>6.88E-005</v>
      </c>
      <c r="BJ5" s="5" t="n">
        <v>0.000248</v>
      </c>
      <c r="BK5" s="5" t="n">
        <v>0</v>
      </c>
      <c r="BL5" s="5" t="n">
        <v>0.00148668</v>
      </c>
      <c r="BM5" s="5" t="n">
        <v>0.0013974792</v>
      </c>
    </row>
    <row r="6" customFormat="false" ht="15" hidden="false" customHeight="false" outlineLevel="0" collapsed="false">
      <c r="A6" s="2" t="n">
        <v>4</v>
      </c>
      <c r="B6" s="2" t="n">
        <v>0.00040794</v>
      </c>
      <c r="C6" s="4" t="n">
        <v>0.000413031947</v>
      </c>
      <c r="D6" s="4" t="n">
        <v>0.00041303</v>
      </c>
      <c r="E6" s="4" t="n">
        <v>0.000435</v>
      </c>
      <c r="F6" s="4" t="n">
        <v>0.00043479</v>
      </c>
      <c r="G6" s="4" t="n">
        <v>0.00040218075</v>
      </c>
      <c r="H6" s="4" t="n">
        <v>0.000352896571532644</v>
      </c>
      <c r="I6" s="4" t="n">
        <v>0.00036655</v>
      </c>
      <c r="J6" s="4" t="n">
        <v>0.0003628845</v>
      </c>
      <c r="K6" s="4" t="n">
        <v>0.00036654505535954</v>
      </c>
      <c r="L6" s="5" t="n">
        <v>0.000327614114393117</v>
      </c>
      <c r="M6" s="5" t="n">
        <f aca="false">L6/(1-0.19)</f>
        <v>0.000404461869621132</v>
      </c>
      <c r="N6" s="5" t="n">
        <f aca="false">L6/(1-0.183)</f>
        <v>0.000400996468045431</v>
      </c>
      <c r="O6" s="5" t="n">
        <v>0.000368874480549932</v>
      </c>
      <c r="P6" s="5" t="n">
        <v>0.00033287851994365</v>
      </c>
      <c r="Q6" s="5" t="n">
        <v>0.000382936815931144</v>
      </c>
      <c r="R6" s="5" t="n">
        <v>0.000373363395532866</v>
      </c>
      <c r="S6" s="4" t="n">
        <v>0.000321</v>
      </c>
      <c r="T6" s="4" t="n">
        <v>0.000357</v>
      </c>
      <c r="U6" s="4" t="n">
        <f aca="false">T6/(1-0.33)</f>
        <v>0.000532835820895522</v>
      </c>
      <c r="V6" s="4" t="n">
        <v>0.000627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0.000417</v>
      </c>
      <c r="AC6" s="4" t="n">
        <v>0.0001916189</v>
      </c>
      <c r="AD6" s="4" t="n">
        <f aca="false">AC6/(1-0.1)</f>
        <v>0.000212909888888889</v>
      </c>
      <c r="AE6" s="4" t="n">
        <f aca="false">AC6/(1-0.15)</f>
        <v>0.000225434</v>
      </c>
      <c r="AF6" s="4" t="n">
        <f aca="false">AC6/(1-0.2)</f>
        <v>0.000239523625</v>
      </c>
      <c r="AG6" s="4" t="n">
        <f aca="false">AC6/(1-0.24)</f>
        <v>0.000252130131578947</v>
      </c>
      <c r="AH6" s="4" t="n">
        <v>0.00165</v>
      </c>
      <c r="AI6" s="4" t="n">
        <v>0.000505</v>
      </c>
      <c r="AJ6" s="4" t="n">
        <v>0.00095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0.0177</v>
      </c>
      <c r="AV6" s="4" t="n">
        <v>0.000278</v>
      </c>
      <c r="AW6" s="4" t="n">
        <v>0</v>
      </c>
      <c r="AX6" s="4" t="n">
        <v>0.01187</v>
      </c>
      <c r="AY6" s="4" t="n">
        <v>0.000278</v>
      </c>
      <c r="AZ6" s="5" t="n">
        <v>0</v>
      </c>
      <c r="BA6" s="5" t="n">
        <v>0.000193</v>
      </c>
      <c r="BB6" s="5" t="n">
        <v>0.000158</v>
      </c>
      <c r="BC6" s="5" t="n">
        <v>9.5E-005</v>
      </c>
      <c r="BD6" s="5" t="n">
        <v>0</v>
      </c>
      <c r="BE6" s="5" t="n">
        <v>0</v>
      </c>
      <c r="BF6" s="5" t="n">
        <v>9.48E-005</v>
      </c>
      <c r="BG6" s="5" t="n">
        <f aca="false">BF6/(1-0.2)</f>
        <v>0.0001185</v>
      </c>
      <c r="BH6" s="5" t="n">
        <f aca="false">BF6/(1-0.25)</f>
        <v>0.0001264</v>
      </c>
      <c r="BI6" s="5" t="n">
        <v>5.82E-005</v>
      </c>
      <c r="BJ6" s="5" t="n">
        <v>0.000199</v>
      </c>
      <c r="BK6" s="5" t="n">
        <v>0</v>
      </c>
      <c r="BL6" s="5" t="n">
        <v>0.00148749</v>
      </c>
      <c r="BM6" s="5" t="n">
        <v>0.0013982406</v>
      </c>
    </row>
    <row r="7" customFormat="false" ht="15" hidden="false" customHeight="false" outlineLevel="0" collapsed="false">
      <c r="A7" s="2" t="n">
        <v>5</v>
      </c>
      <c r="B7" s="2" t="n">
        <v>0.00033478</v>
      </c>
      <c r="C7" s="4" t="n">
        <v>0.0003387760464</v>
      </c>
      <c r="D7" s="4" t="n">
        <v>0.00033878</v>
      </c>
      <c r="E7" s="4" t="n">
        <v>0.000347</v>
      </c>
      <c r="F7" s="4" t="n">
        <v>0.00034678</v>
      </c>
      <c r="G7" s="4" t="n">
        <v>0.0003207715</v>
      </c>
      <c r="H7" s="4" t="n">
        <v>0.000305579032809791</v>
      </c>
      <c r="I7" s="4" t="n">
        <v>0.0003175</v>
      </c>
      <c r="J7" s="4" t="n">
        <v>0.000314325</v>
      </c>
      <c r="K7" s="4" t="n">
        <v>0.000317501952621064</v>
      </c>
      <c r="L7" s="5" t="n">
        <v>0.000282664137377148</v>
      </c>
      <c r="M7" s="5" t="n">
        <f aca="false">L7/(1-0.19)</f>
        <v>0.000348968070835986</v>
      </c>
      <c r="N7" s="5" t="n">
        <f aca="false">L7/(1-0.183)</f>
        <v>0.000345978136324539</v>
      </c>
      <c r="O7" s="5" t="n">
        <v>0.000318380552750016</v>
      </c>
      <c r="P7" s="5" t="n">
        <v>0.000285130499367711</v>
      </c>
      <c r="Q7" s="5" t="n">
        <v>0.000330729220402172</v>
      </c>
      <c r="R7" s="5" t="n">
        <v>0.000322460989892117</v>
      </c>
      <c r="S7" s="4" t="n">
        <v>0.000291</v>
      </c>
      <c r="T7" s="4" t="n">
        <v>0.000324</v>
      </c>
      <c r="U7" s="4" t="n">
        <f aca="false">T7/(1-0.33)</f>
        <v>0.000483582089552239</v>
      </c>
      <c r="V7" s="4" t="n">
        <v>0.000566</v>
      </c>
      <c r="W7" s="4" t="n">
        <v>0</v>
      </c>
      <c r="X7" s="4" t="n">
        <v>0.00037</v>
      </c>
      <c r="Y7" s="4" t="n">
        <v>0.0003515</v>
      </c>
      <c r="Z7" s="4" t="n">
        <v>0.00038</v>
      </c>
      <c r="AA7" s="4" t="n">
        <v>0.0003705</v>
      </c>
      <c r="AB7" s="4" t="n">
        <v>0.000377</v>
      </c>
      <c r="AC7" s="4" t="n">
        <v>0.0001876699</v>
      </c>
      <c r="AD7" s="4" t="n">
        <f aca="false">AC7/(1-0.1)</f>
        <v>0.000208522111111111</v>
      </c>
      <c r="AE7" s="4" t="n">
        <f aca="false">AC7/(1-0.15)</f>
        <v>0.000220788117647059</v>
      </c>
      <c r="AF7" s="4" t="n">
        <f aca="false">AC7/(1-0.2)</f>
        <v>0.000234587375</v>
      </c>
      <c r="AG7" s="4" t="n">
        <f aca="false">AC7/(1-0.24)</f>
        <v>0.000246934078947368</v>
      </c>
      <c r="AH7" s="4" t="n">
        <v>0.00159</v>
      </c>
      <c r="AI7" s="4" t="n">
        <v>0.000456</v>
      </c>
      <c r="AJ7" s="4" t="n">
        <v>0.0009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0.0136</v>
      </c>
      <c r="AV7" s="4" t="n">
        <v>0.000255</v>
      </c>
      <c r="AW7" s="4" t="n">
        <v>0</v>
      </c>
      <c r="AX7" s="4" t="n">
        <v>0.00897</v>
      </c>
      <c r="AY7" s="4" t="n">
        <v>0.000255</v>
      </c>
      <c r="AZ7" s="5" t="n">
        <v>0</v>
      </c>
      <c r="BA7" s="5" t="n">
        <v>0.000186</v>
      </c>
      <c r="BB7" s="5" t="n">
        <v>0.000141</v>
      </c>
      <c r="BC7" s="5" t="n">
        <v>8.4E-005</v>
      </c>
      <c r="BD7" s="5" t="n">
        <v>0</v>
      </c>
      <c r="BE7" s="5" t="n">
        <v>0</v>
      </c>
      <c r="BF7" s="5" t="n">
        <v>9.06E-005</v>
      </c>
      <c r="BG7" s="5" t="n">
        <f aca="false">BF7/(1-0.2)</f>
        <v>0.00011325</v>
      </c>
      <c r="BH7" s="5" t="n">
        <f aca="false">BF7/(1-0.25)</f>
        <v>0.0001208</v>
      </c>
      <c r="BI7" s="5" t="n">
        <v>5.43E-005</v>
      </c>
      <c r="BJ7" s="5" t="n">
        <v>0.000167</v>
      </c>
      <c r="BK7" s="5" t="n">
        <v>0</v>
      </c>
      <c r="BL7" s="5" t="n">
        <v>0.00148841</v>
      </c>
      <c r="BM7" s="5" t="n">
        <v>0.0013991054</v>
      </c>
    </row>
    <row r="8" customFormat="false" ht="15" hidden="false" customHeight="false" outlineLevel="0" collapsed="false">
      <c r="A8" s="2" t="n">
        <v>6</v>
      </c>
      <c r="B8" s="2" t="n">
        <v>0.00028061</v>
      </c>
      <c r="C8" s="4" t="n">
        <v>0.0002838881828</v>
      </c>
      <c r="D8" s="4" t="n">
        <v>0.00028389</v>
      </c>
      <c r="E8" s="4" t="n">
        <v>0.000285</v>
      </c>
      <c r="F8" s="4" t="n">
        <v>0.00028476</v>
      </c>
      <c r="G8" s="4" t="n">
        <v>0.000263403</v>
      </c>
      <c r="H8" s="4" t="n">
        <v>0.000273066522813905</v>
      </c>
      <c r="I8" s="4" t="n">
        <v>0.00028374</v>
      </c>
      <c r="J8" s="4" t="n">
        <v>0.0002809026</v>
      </c>
      <c r="K8" s="4" t="n">
        <v>0.000283739557487222</v>
      </c>
      <c r="L8" s="5" t="n">
        <v>0.000252094943009549</v>
      </c>
      <c r="M8" s="5" t="n">
        <f aca="false">L8/(1-0.19)</f>
        <v>0.000311228324703146</v>
      </c>
      <c r="N8" s="5" t="n">
        <f aca="false">L8/(1-0.183)</f>
        <v>0.000308561741749754</v>
      </c>
      <c r="O8" s="5" t="n">
        <v>0.000283764944193442</v>
      </c>
      <c r="P8" s="5" t="n">
        <v>0.00025279664513634</v>
      </c>
      <c r="Q8" s="5" t="n">
        <v>0.000294796530379361</v>
      </c>
      <c r="R8" s="5" t="n">
        <v>0.000287426617119877</v>
      </c>
      <c r="S8" s="4" t="n">
        <v>0.00027</v>
      </c>
      <c r="T8" s="4" t="n">
        <v>0.000301</v>
      </c>
      <c r="U8" s="4" t="n">
        <f aca="false">T8/(1-0.33)</f>
        <v>0.000449253731343284</v>
      </c>
      <c r="V8" s="4" t="n">
        <v>0.000526</v>
      </c>
      <c r="W8" s="4" t="n">
        <v>0</v>
      </c>
      <c r="X8" s="4" t="n">
        <v>0.00038</v>
      </c>
      <c r="Y8" s="4" t="n">
        <v>0.000361</v>
      </c>
      <c r="Z8" s="4" t="n">
        <v>0.000353</v>
      </c>
      <c r="AA8" s="4" t="n">
        <v>0.000344175</v>
      </c>
      <c r="AB8" s="4" t="n">
        <v>0.00035</v>
      </c>
      <c r="AC8" s="4" t="n">
        <v>0.0001861928</v>
      </c>
      <c r="AD8" s="4" t="n">
        <f aca="false">AC8/(1-0.1)</f>
        <v>0.000206880888888889</v>
      </c>
      <c r="AE8" s="4" t="n">
        <f aca="false">AC8/(1-0.15)</f>
        <v>0.000219050352941176</v>
      </c>
      <c r="AF8" s="4" t="n">
        <f aca="false">AC8/(1-0.2)</f>
        <v>0.000232741</v>
      </c>
      <c r="AG8" s="4" t="n">
        <f aca="false">AC8/(1-0.24)</f>
        <v>0.00024499052631579</v>
      </c>
      <c r="AH8" s="4" t="n">
        <v>0.00153</v>
      </c>
      <c r="AI8" s="4" t="n">
        <v>0.000424</v>
      </c>
      <c r="AJ8" s="4" t="n">
        <v>0.00086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0.01137</v>
      </c>
      <c r="AV8" s="4" t="n">
        <v>0.000244</v>
      </c>
      <c r="AW8" s="4" t="n">
        <v>0</v>
      </c>
      <c r="AX8" s="4" t="n">
        <v>0.00687</v>
      </c>
      <c r="AY8" s="4" t="n">
        <v>0.000244</v>
      </c>
      <c r="AZ8" s="5" t="n">
        <v>0</v>
      </c>
      <c r="BA8" s="5" t="n">
        <v>0.000184</v>
      </c>
      <c r="BB8" s="5" t="n">
        <v>0.000132</v>
      </c>
      <c r="BC8" s="5" t="n">
        <v>7.8E-005</v>
      </c>
      <c r="BD8" s="5" t="n">
        <v>0</v>
      </c>
      <c r="BE8" s="5" t="n">
        <v>0</v>
      </c>
      <c r="BF8" s="5" t="n">
        <v>9.09E-005</v>
      </c>
      <c r="BG8" s="5" t="n">
        <f aca="false">BF8/(1-0.2)</f>
        <v>0.000113625</v>
      </c>
      <c r="BH8" s="5" t="n">
        <f aca="false">BF8/(1-0.25)</f>
        <v>0.0001212</v>
      </c>
      <c r="BI8" s="5" t="n">
        <v>5.39E-005</v>
      </c>
      <c r="BJ8" s="5" t="n">
        <v>0.000143</v>
      </c>
      <c r="BK8" s="5" t="n">
        <v>0</v>
      </c>
      <c r="BL8" s="5" t="n">
        <v>0.00148947</v>
      </c>
      <c r="BM8" s="5" t="n">
        <v>0.0014001018</v>
      </c>
    </row>
    <row r="9" customFormat="false" ht="15" hidden="false" customHeight="false" outlineLevel="0" collapsed="false">
      <c r="A9" s="2" t="n">
        <v>7</v>
      </c>
      <c r="B9" s="2" t="n">
        <v>0.00024241</v>
      </c>
      <c r="C9" s="4" t="n">
        <v>0.0002452705198</v>
      </c>
      <c r="D9" s="4" t="n">
        <v>0.00024527</v>
      </c>
      <c r="E9" s="4" t="n">
        <v>0.000243</v>
      </c>
      <c r="F9" s="4" t="n">
        <v>0.00024328</v>
      </c>
      <c r="G9" s="4" t="n">
        <v>0.000225034</v>
      </c>
      <c r="H9" s="4" t="n">
        <v>0.000250930536302788</v>
      </c>
      <c r="I9" s="4" t="n">
        <v>0.00026067</v>
      </c>
      <c r="J9" s="4" t="n">
        <v>0.0002580633</v>
      </c>
      <c r="K9" s="4" t="n">
        <v>0.000260672007940999</v>
      </c>
      <c r="L9" s="5" t="n">
        <v>0.000231494429163458</v>
      </c>
      <c r="M9" s="5" t="n">
        <f aca="false">L9/(1-0.19)</f>
        <v>0.000285795591559825</v>
      </c>
      <c r="N9" s="5" t="n">
        <f aca="false">L9/(1-0.183)</f>
        <v>0.000283346914520756</v>
      </c>
      <c r="O9" s="5" t="n">
        <v>0.000260263634350933</v>
      </c>
      <c r="P9" s="5" t="n">
        <v>0.000231049694586315</v>
      </c>
      <c r="Q9" s="5" t="n">
        <v>0.000270191510394829</v>
      </c>
      <c r="R9" s="5" t="n">
        <v>0.000263436722634958</v>
      </c>
      <c r="S9" s="4" t="n">
        <v>0.000257</v>
      </c>
      <c r="T9" s="4" t="n">
        <v>0.000286</v>
      </c>
      <c r="U9" s="4" t="n">
        <f aca="false">T9/(1-0.33)</f>
        <v>0.000426865671641791</v>
      </c>
      <c r="V9" s="4" t="n">
        <v>0.0005</v>
      </c>
      <c r="W9" s="4" t="n">
        <v>0</v>
      </c>
      <c r="X9" s="4" t="n">
        <v>0.00039</v>
      </c>
      <c r="Y9" s="4" t="n">
        <v>0.0003705</v>
      </c>
      <c r="Z9" s="4" t="n">
        <v>0.000336</v>
      </c>
      <c r="AA9" s="4" t="n">
        <v>0.0003276</v>
      </c>
      <c r="AB9" s="4" t="n">
        <v>0.000333</v>
      </c>
      <c r="AC9" s="4" t="n">
        <v>0.0001866695</v>
      </c>
      <c r="AD9" s="4" t="n">
        <f aca="false">AC9/(1-0.1)</f>
        <v>0.000207410555555556</v>
      </c>
      <c r="AE9" s="4" t="n">
        <f aca="false">AC9/(1-0.15)</f>
        <v>0.000219611176470588</v>
      </c>
      <c r="AF9" s="4" t="n">
        <f aca="false">AC9/(1-0.2)</f>
        <v>0.000233336875</v>
      </c>
      <c r="AG9" s="4" t="n">
        <f aca="false">AC9/(1-0.24)</f>
        <v>0.000245617763157895</v>
      </c>
      <c r="AH9" s="4" t="n">
        <v>0.00148</v>
      </c>
      <c r="AI9" s="4" t="n">
        <v>0.000403</v>
      </c>
      <c r="AJ9" s="4" t="n">
        <v>0.0008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0.00975</v>
      </c>
      <c r="AV9" s="4" t="n">
        <v>0.000234</v>
      </c>
      <c r="AW9" s="4" t="n">
        <v>0</v>
      </c>
      <c r="AX9" s="4" t="n">
        <v>0.0054</v>
      </c>
      <c r="AY9" s="4" t="n">
        <v>0.000234</v>
      </c>
      <c r="AZ9" s="5" t="n">
        <v>0</v>
      </c>
      <c r="BA9" s="5" t="n">
        <v>0.000177</v>
      </c>
      <c r="BB9" s="5" t="n">
        <v>0.000129</v>
      </c>
      <c r="BC9" s="5" t="n">
        <v>7.4E-005</v>
      </c>
      <c r="BD9" s="5" t="n">
        <v>0</v>
      </c>
      <c r="BE9" s="5" t="n">
        <v>0</v>
      </c>
      <c r="BF9" s="5" t="n">
        <v>9.38E-005</v>
      </c>
      <c r="BG9" s="5" t="n">
        <f aca="false">BF9/(1-0.2)</f>
        <v>0.00011725</v>
      </c>
      <c r="BH9" s="5" t="n">
        <f aca="false">BF9/(1-0.25)</f>
        <v>0.000125066666666667</v>
      </c>
      <c r="BI9" s="5" t="n">
        <v>5.55E-005</v>
      </c>
      <c r="BJ9" s="5" t="n">
        <v>0.000126</v>
      </c>
      <c r="BK9" s="5" t="n">
        <v>0</v>
      </c>
      <c r="BL9" s="5" t="n">
        <v>0.00149067</v>
      </c>
      <c r="BM9" s="5" t="n">
        <v>0.0014012298</v>
      </c>
    </row>
    <row r="10" customFormat="false" ht="15" hidden="false" customHeight="false" outlineLevel="0" collapsed="false">
      <c r="A10" s="2" t="n">
        <v>8</v>
      </c>
      <c r="B10" s="2" t="n">
        <v>0.00021835</v>
      </c>
      <c r="C10" s="4" t="n">
        <v>0.0002210164546</v>
      </c>
      <c r="D10" s="4" t="n">
        <v>0.00022102</v>
      </c>
      <c r="E10" s="4" t="n">
        <v>0.000219</v>
      </c>
      <c r="F10" s="4" t="n">
        <v>0.00021877</v>
      </c>
      <c r="G10" s="4" t="n">
        <v>0.00020236225</v>
      </c>
      <c r="H10" s="4" t="n">
        <v>0.000237476930035879</v>
      </c>
      <c r="I10" s="4" t="n">
        <v>0.00024653</v>
      </c>
      <c r="J10" s="4" t="n">
        <v>0.0002440647</v>
      </c>
      <c r="K10" s="4" t="n">
        <v>0.000246532727799569</v>
      </c>
      <c r="L10" s="5" t="n">
        <v>0.000219056354230924</v>
      </c>
      <c r="M10" s="5" t="n">
        <f aca="false">L10/(1-0.19)</f>
        <v>0.000270439943494967</v>
      </c>
      <c r="N10" s="5" t="n">
        <f aca="false">L10/(1-0.183)</f>
        <v>0.00026812283259599</v>
      </c>
      <c r="O10" s="5" t="n">
        <v>0.000246075944725574</v>
      </c>
      <c r="P10" s="5" t="n">
        <v>0.000217885946288627</v>
      </c>
      <c r="Q10" s="5" t="n">
        <v>0.000254978108927986</v>
      </c>
      <c r="R10" s="5" t="n">
        <v>0.000248603656204786</v>
      </c>
      <c r="S10" s="4" t="n">
        <v>0.000294</v>
      </c>
      <c r="T10" s="4" t="n">
        <v>0.000328</v>
      </c>
      <c r="U10" s="4" t="n">
        <f aca="false">T10/(1-0.33)</f>
        <v>0.00048955223880597</v>
      </c>
      <c r="V10" s="4" t="n">
        <v>0.000487</v>
      </c>
      <c r="W10" s="4" t="n">
        <v>0</v>
      </c>
      <c r="X10" s="4" t="n">
        <v>0.0004</v>
      </c>
      <c r="Y10" s="4" t="n">
        <v>0.00038</v>
      </c>
      <c r="Z10" s="4" t="n">
        <v>0.000327</v>
      </c>
      <c r="AA10" s="4" t="n">
        <v>0.000318825</v>
      </c>
      <c r="AB10" s="4" t="n">
        <v>0.000352</v>
      </c>
      <c r="AC10" s="4" t="n">
        <v>0.000189483</v>
      </c>
      <c r="AD10" s="4" t="n">
        <f aca="false">AC10/(1-0.1)</f>
        <v>0.000210536666666667</v>
      </c>
      <c r="AE10" s="4" t="n">
        <f aca="false">AC10/(1-0.15)</f>
        <v>0.000222921176470588</v>
      </c>
      <c r="AF10" s="4" t="n">
        <f aca="false">AC10/(1-0.2)</f>
        <v>0.00023685375</v>
      </c>
      <c r="AG10" s="4" t="n">
        <f aca="false">AC10/(1-0.24)</f>
        <v>0.000249319736842105</v>
      </c>
      <c r="AH10" s="4" t="n">
        <v>0.00145</v>
      </c>
      <c r="AI10" s="4" t="n">
        <v>0.000392</v>
      </c>
      <c r="AJ10" s="4" t="n">
        <v>0.00076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0.00863</v>
      </c>
      <c r="AV10" s="4" t="n">
        <v>0.000216</v>
      </c>
      <c r="AW10" s="4" t="n">
        <v>0</v>
      </c>
      <c r="AX10" s="4" t="n">
        <v>0.00443</v>
      </c>
      <c r="AY10" s="4" t="n">
        <v>0.000216</v>
      </c>
      <c r="AZ10" s="5" t="n">
        <v>0</v>
      </c>
      <c r="BA10" s="5" t="n">
        <v>0.000159</v>
      </c>
      <c r="BB10" s="5" t="n">
        <v>0.000131</v>
      </c>
      <c r="BC10" s="5" t="n">
        <v>7.2E-005</v>
      </c>
      <c r="BD10" s="5" t="n">
        <v>0</v>
      </c>
      <c r="BE10" s="5" t="n">
        <v>0</v>
      </c>
      <c r="BF10" s="5" t="n">
        <v>9.87E-005</v>
      </c>
      <c r="BG10" s="5" t="n">
        <f aca="false">BF10/(1-0.2)</f>
        <v>0.000123375</v>
      </c>
      <c r="BH10" s="5" t="n">
        <f aca="false">BF10/(1-0.25)</f>
        <v>0.0001316</v>
      </c>
      <c r="BI10" s="5" t="n">
        <v>5.84E-005</v>
      </c>
      <c r="BJ10" s="5" t="n">
        <v>0.000121</v>
      </c>
      <c r="BK10" s="5" t="n">
        <v>0</v>
      </c>
      <c r="BL10" s="5" t="n">
        <v>0.00149205</v>
      </c>
      <c r="BM10" s="5" t="n">
        <v>0.001402527</v>
      </c>
    </row>
    <row r="11" customFormat="false" ht="15" hidden="false" customHeight="false" outlineLevel="0" collapsed="false">
      <c r="A11" s="2" t="n">
        <v>9</v>
      </c>
      <c r="B11" s="2" t="n">
        <v>0.00020764</v>
      </c>
      <c r="C11" s="4" t="n">
        <v>0.0002103095506</v>
      </c>
      <c r="D11" s="4" t="n">
        <v>0.00021031</v>
      </c>
      <c r="E11" s="4" t="n">
        <v>0.000209</v>
      </c>
      <c r="F11" s="4" t="n">
        <v>0.00020948</v>
      </c>
      <c r="G11" s="4" t="n">
        <v>0.000193769</v>
      </c>
      <c r="H11" s="4" t="n">
        <v>0.000232773518927178</v>
      </c>
      <c r="I11" s="4" t="n">
        <v>0.00024137</v>
      </c>
      <c r="J11" s="4" t="n">
        <v>0.0002389563</v>
      </c>
      <c r="K11" s="4" t="n">
        <v>0.000241369670329005</v>
      </c>
      <c r="L11" s="5" t="n">
        <v>0.00021454725212696</v>
      </c>
      <c r="M11" s="5" t="n">
        <f aca="false">L11/(1-0.19)</f>
        <v>0.000264873150774025</v>
      </c>
      <c r="N11" s="5" t="n">
        <f aca="false">L11/(1-0.183)</f>
        <v>0.000262603735773513</v>
      </c>
      <c r="O11" s="5" t="n">
        <v>0.000241325001600603</v>
      </c>
      <c r="P11" s="5" t="n">
        <v>0.000212983066026823</v>
      </c>
      <c r="Q11" s="5" t="n">
        <v>0.000249141664055644</v>
      </c>
      <c r="R11" s="5" t="n">
        <v>0.000242913122454253</v>
      </c>
      <c r="S11" s="4" t="n">
        <v>0.000325</v>
      </c>
      <c r="T11" s="4" t="n">
        <v>0.000362</v>
      </c>
      <c r="U11" s="4" t="n">
        <f aca="false">T11/(1-0.33)</f>
        <v>0.000540298507462687</v>
      </c>
      <c r="V11" s="4" t="n">
        <v>0.000482</v>
      </c>
      <c r="W11" s="4" t="n">
        <v>0</v>
      </c>
      <c r="X11" s="4" t="n">
        <v>0.00041</v>
      </c>
      <c r="Y11" s="4" t="n">
        <v>0.0003895</v>
      </c>
      <c r="Z11" s="4" t="n">
        <v>0.000324</v>
      </c>
      <c r="AA11" s="4" t="n">
        <v>0.0003159</v>
      </c>
      <c r="AB11" s="4" t="n">
        <v>0.000368</v>
      </c>
      <c r="AC11" s="4" t="n">
        <v>0.0001961013</v>
      </c>
      <c r="AD11" s="4" t="n">
        <f aca="false">AC11/(1-0.1)</f>
        <v>0.000217890333333333</v>
      </c>
      <c r="AE11" s="4" t="n">
        <f aca="false">AC11/(1-0.15)</f>
        <v>0.000230707411764706</v>
      </c>
      <c r="AF11" s="4" t="n">
        <f aca="false">AC11/(1-0.2)</f>
        <v>0.000245126625</v>
      </c>
      <c r="AG11" s="4" t="n">
        <f aca="false">AC11/(1-0.24)</f>
        <v>0.00025802802631579</v>
      </c>
      <c r="AH11" s="4" t="n">
        <v>0.00142</v>
      </c>
      <c r="AI11" s="4" t="n">
        <v>0.000389</v>
      </c>
      <c r="AJ11" s="4" t="n">
        <v>0.00074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0.0079</v>
      </c>
      <c r="AV11" s="4" t="n">
        <v>0.000209</v>
      </c>
      <c r="AW11" s="4" t="n">
        <v>0</v>
      </c>
      <c r="AX11" s="4" t="n">
        <v>0.00388</v>
      </c>
      <c r="AY11" s="4" t="n">
        <v>0.000209</v>
      </c>
      <c r="AZ11" s="5" t="n">
        <v>0</v>
      </c>
      <c r="BA11" s="5" t="n">
        <v>0.000143</v>
      </c>
      <c r="BB11" s="5" t="n">
        <v>0.000137</v>
      </c>
      <c r="BC11" s="5" t="n">
        <v>7.2E-005</v>
      </c>
      <c r="BD11" s="5" t="n">
        <v>0</v>
      </c>
      <c r="BE11" s="5" t="n">
        <v>0</v>
      </c>
      <c r="BF11" s="5" t="n">
        <v>0.0001052</v>
      </c>
      <c r="BG11" s="5" t="n">
        <f aca="false">BF11/(1-0.2)</f>
        <v>0.0001315</v>
      </c>
      <c r="BH11" s="5" t="n">
        <f aca="false">BF11/(1-0.25)</f>
        <v>0.000140266666666667</v>
      </c>
      <c r="BI11" s="5" t="n">
        <v>6.24E-005</v>
      </c>
      <c r="BJ11" s="5" t="n">
        <v>0.000121</v>
      </c>
      <c r="BK11" s="5" t="n">
        <v>0</v>
      </c>
      <c r="BL11" s="5" t="n">
        <v>0.00149362</v>
      </c>
      <c r="BM11" s="5" t="n">
        <v>0.0014040028</v>
      </c>
    </row>
    <row r="12" customFormat="false" ht="15" hidden="false" customHeight="false" outlineLevel="0" collapsed="false">
      <c r="A12" s="2" t="n">
        <v>10</v>
      </c>
      <c r="B12" s="2" t="n">
        <v>0.0002113</v>
      </c>
      <c r="C12" s="4" t="n">
        <v>0.000214200623</v>
      </c>
      <c r="D12" s="4" t="n">
        <v>0.0002142</v>
      </c>
      <c r="E12" s="4" t="n">
        <v>0.000216</v>
      </c>
      <c r="F12" s="4" t="n">
        <v>0.00021608</v>
      </c>
      <c r="G12" s="4" t="n">
        <v>0.000199874</v>
      </c>
      <c r="H12" s="4" t="n">
        <v>0.000238488362006615</v>
      </c>
      <c r="I12" s="4" t="n">
        <v>0.00024688</v>
      </c>
      <c r="J12" s="4" t="n">
        <v>0.0002444112</v>
      </c>
      <c r="K12" s="4" t="n">
        <v>0.000246877633960352</v>
      </c>
      <c r="L12" s="5" t="n">
        <v>0.00021902865341227</v>
      </c>
      <c r="M12" s="5" t="n">
        <f aca="false">L12/(1-0.19)</f>
        <v>0.00027040574495342</v>
      </c>
      <c r="N12" s="5" t="n">
        <f aca="false">L12/(1-0.183)</f>
        <v>0.000268088927065203</v>
      </c>
      <c r="O12" s="5" t="n">
        <v>0.000247906105411946</v>
      </c>
      <c r="P12" s="5" t="n">
        <v>0.000217382294440754</v>
      </c>
      <c r="Q12" s="5" t="n">
        <v>0.000254395558145782</v>
      </c>
      <c r="R12" s="5" t="n">
        <v>0.000248035669192138</v>
      </c>
      <c r="S12" s="4" t="n">
        <v>0.00035</v>
      </c>
      <c r="T12" s="4" t="n">
        <v>0.00039</v>
      </c>
      <c r="U12" s="4" t="n">
        <f aca="false">T12/(1-0.33)</f>
        <v>0.000582089552238806</v>
      </c>
      <c r="V12" s="4" t="n">
        <v>0.000483</v>
      </c>
      <c r="W12" s="4" t="n">
        <v>0.000483</v>
      </c>
      <c r="X12" s="4" t="n">
        <v>0.00042</v>
      </c>
      <c r="Y12" s="4" t="n">
        <v>0.000399</v>
      </c>
      <c r="Z12" s="4" t="n">
        <v>0.000325</v>
      </c>
      <c r="AA12" s="4" t="n">
        <v>0.000316875</v>
      </c>
      <c r="AB12" s="4" t="n">
        <v>0.000382</v>
      </c>
      <c r="AC12" s="4" t="n">
        <v>0.0002091557</v>
      </c>
      <c r="AD12" s="4" t="n">
        <f aca="false">AC12/(1-0.1)</f>
        <v>0.000232395222222222</v>
      </c>
      <c r="AE12" s="4" t="n">
        <f aca="false">AC12/(1-0.15)</f>
        <v>0.000246065529411765</v>
      </c>
      <c r="AF12" s="4" t="n">
        <f aca="false">AC12/(1-0.2)</f>
        <v>0.000261444625</v>
      </c>
      <c r="AG12" s="4" t="n">
        <f aca="false">AC12/(1-0.24)</f>
        <v>0.000275204868421053</v>
      </c>
      <c r="AH12" s="4" t="n">
        <v>0.00142</v>
      </c>
      <c r="AI12" s="4" t="n">
        <v>0.00039</v>
      </c>
      <c r="AJ12" s="4" t="n">
        <v>0.00073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0.00749</v>
      </c>
      <c r="AV12" s="4" t="n">
        <v>0.000212</v>
      </c>
      <c r="AW12" s="4" t="n">
        <v>0</v>
      </c>
      <c r="AX12" s="4" t="n">
        <v>0.00364</v>
      </c>
      <c r="AY12" s="4" t="n">
        <v>0.000212</v>
      </c>
      <c r="AZ12" s="5" t="n">
        <v>0</v>
      </c>
      <c r="BA12" s="5" t="n">
        <v>0.000126</v>
      </c>
      <c r="BB12" s="5" t="n">
        <v>0.000146</v>
      </c>
      <c r="BC12" s="5" t="n">
        <v>7.4E-005</v>
      </c>
      <c r="BD12" s="5" t="n">
        <v>0</v>
      </c>
      <c r="BE12" s="5" t="n">
        <v>0</v>
      </c>
      <c r="BF12" s="5" t="n">
        <v>0.0001141</v>
      </c>
      <c r="BG12" s="5" t="n">
        <f aca="false">BF12/(1-0.2)</f>
        <v>0.000142625</v>
      </c>
      <c r="BH12" s="5" t="n">
        <f aca="false">BF12/(1-0.25)</f>
        <v>0.000152133333333333</v>
      </c>
      <c r="BI12" s="5" t="n">
        <v>6.73E-005</v>
      </c>
      <c r="BJ12" s="5" t="n">
        <v>0.000127</v>
      </c>
      <c r="BK12" s="5" t="n">
        <v>0</v>
      </c>
      <c r="BL12" s="5" t="n">
        <v>0.00149542</v>
      </c>
      <c r="BM12" s="5" t="n">
        <v>0.0014056948</v>
      </c>
    </row>
    <row r="13" customFormat="false" ht="15" hidden="false" customHeight="false" outlineLevel="0" collapsed="false">
      <c r="A13" s="2" t="n">
        <v>11</v>
      </c>
      <c r="B13" s="2" t="n">
        <v>0.00023265</v>
      </c>
      <c r="C13" s="4" t="n">
        <v>0.0002360423932</v>
      </c>
      <c r="D13" s="4" t="n">
        <v>0.00023604</v>
      </c>
      <c r="E13" s="4" t="n">
        <v>0.000242</v>
      </c>
      <c r="F13" s="4" t="n">
        <v>0.00024218</v>
      </c>
      <c r="G13" s="4" t="n">
        <v>0.0002240165</v>
      </c>
      <c r="H13" s="4" t="n">
        <v>0.00025820321717193</v>
      </c>
      <c r="I13" s="4" t="n">
        <v>0.00026672</v>
      </c>
      <c r="J13" s="4" t="n">
        <v>0.0002640528</v>
      </c>
      <c r="K13" s="4" t="n">
        <v>0.000266722087522097</v>
      </c>
      <c r="L13" s="5" t="n">
        <v>0.000234965940813889</v>
      </c>
      <c r="M13" s="5" t="n">
        <f aca="false">L13/(1-0.19)</f>
        <v>0.000290081408412209</v>
      </c>
      <c r="N13" s="5" t="n">
        <f aca="false">L13/(1-0.183)</f>
        <v>0.000287596010788114</v>
      </c>
      <c r="O13" s="5" t="n">
        <v>0.000269867141963506</v>
      </c>
      <c r="P13" s="5" t="n">
        <v>0.00023358640603894</v>
      </c>
      <c r="Q13" s="5" t="n">
        <v>0.000274509623855146</v>
      </c>
      <c r="R13" s="5" t="n">
        <v>0.000267646883258767</v>
      </c>
      <c r="S13" s="4" t="n">
        <v>0.000371</v>
      </c>
      <c r="T13" s="4" t="n">
        <v>0.000413</v>
      </c>
      <c r="U13" s="4" t="n">
        <f aca="false">T13/(1-0.33)</f>
        <v>0.000616417910447761</v>
      </c>
      <c r="V13" s="4" t="n">
        <v>0.000492</v>
      </c>
      <c r="W13" s="4" t="n">
        <v>0.000492</v>
      </c>
      <c r="X13" s="4" t="n">
        <v>0.00043</v>
      </c>
      <c r="Y13" s="4" t="n">
        <v>0.0004085</v>
      </c>
      <c r="Z13" s="4" t="n">
        <v>0.000331</v>
      </c>
      <c r="AA13" s="4" t="n">
        <v>0.000322725</v>
      </c>
      <c r="AB13" s="4" t="n">
        <v>0.000394</v>
      </c>
      <c r="AC13" s="4" t="n">
        <v>0.0002325625</v>
      </c>
      <c r="AD13" s="4" t="n">
        <f aca="false">AC13/(1-0.1)</f>
        <v>0.000258402777777778</v>
      </c>
      <c r="AE13" s="4" t="n">
        <f aca="false">AC13/(1-0.15)</f>
        <v>0.000273602941176471</v>
      </c>
      <c r="AF13" s="4" t="n">
        <f aca="false">AC13/(1-0.2)</f>
        <v>0.000290703125</v>
      </c>
      <c r="AG13" s="4" t="n">
        <f aca="false">AC13/(1-0.24)</f>
        <v>0.000306003289473684</v>
      </c>
      <c r="AH13" s="4" t="n">
        <v>0.00145</v>
      </c>
      <c r="AI13" s="4" t="n">
        <v>0.000397</v>
      </c>
      <c r="AJ13" s="4" t="n">
        <v>0.00077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0.00752</v>
      </c>
      <c r="AV13" s="4" t="n">
        <v>0.000219</v>
      </c>
      <c r="AW13" s="4" t="n">
        <v>0</v>
      </c>
      <c r="AX13" s="4" t="n">
        <v>0.00366</v>
      </c>
      <c r="AY13" s="4" t="n">
        <v>0.000223</v>
      </c>
      <c r="AZ13" s="5" t="n">
        <v>0</v>
      </c>
      <c r="BA13" s="5" t="n">
        <v>0.000123</v>
      </c>
      <c r="BB13" s="5" t="n">
        <v>0.000157</v>
      </c>
      <c r="BC13" s="5" t="n">
        <v>7.7E-005</v>
      </c>
      <c r="BD13" s="5" t="n">
        <v>0</v>
      </c>
      <c r="BE13" s="5" t="n">
        <v>0</v>
      </c>
      <c r="BF13" s="5" t="n">
        <v>0.0001277</v>
      </c>
      <c r="BG13" s="5" t="n">
        <f aca="false">BF13/(1-0.2)</f>
        <v>0.000159625</v>
      </c>
      <c r="BH13" s="5" t="n">
        <f aca="false">BF13/(1-0.25)</f>
        <v>0.000170266666666667</v>
      </c>
      <c r="BI13" s="5" t="n">
        <v>7.38E-005</v>
      </c>
      <c r="BJ13" s="5" t="n">
        <v>0.000143</v>
      </c>
      <c r="BK13" s="5" t="n">
        <v>0</v>
      </c>
      <c r="BL13" s="5" t="n">
        <v>0.00149748</v>
      </c>
      <c r="BM13" s="5" t="n">
        <v>0.0014076312</v>
      </c>
    </row>
    <row r="14" customFormat="false" ht="15" hidden="false" customHeight="false" outlineLevel="0" collapsed="false">
      <c r="A14" s="2" t="n">
        <v>12</v>
      </c>
      <c r="B14" s="2" t="n">
        <v>0.00027817</v>
      </c>
      <c r="C14" s="4" t="n">
        <v>0.0002824654024</v>
      </c>
      <c r="D14" s="4" t="n">
        <v>0.00028247</v>
      </c>
      <c r="E14" s="4" t="n">
        <v>0.000295</v>
      </c>
      <c r="F14" s="4" t="n">
        <v>0.00029542</v>
      </c>
      <c r="G14" s="4" t="n">
        <v>0.0002732635</v>
      </c>
      <c r="H14" s="4" t="n">
        <v>0.000298174060294046</v>
      </c>
      <c r="I14" s="4" t="n">
        <v>0.00030733</v>
      </c>
      <c r="J14" s="4" t="n">
        <v>0.0003042567</v>
      </c>
      <c r="K14" s="4" t="n">
        <v>0.000307326259955023</v>
      </c>
      <c r="L14" s="5" t="n">
        <v>0.000266638016760367</v>
      </c>
      <c r="M14" s="5" t="n">
        <f aca="false">L14/(1-0.19)</f>
        <v>0.000329182736741194</v>
      </c>
      <c r="N14" s="5" t="n">
        <f aca="false">L14/(1-0.183)</f>
        <v>0.000326362321616117</v>
      </c>
      <c r="O14" s="5" t="n">
        <v>0.000314303481627565</v>
      </c>
      <c r="P14" s="5" t="n">
        <v>0.00026597542989866</v>
      </c>
      <c r="Q14" s="5" t="n">
        <v>0.000316126798301953</v>
      </c>
      <c r="R14" s="5" t="n">
        <v>0.000308223628344404</v>
      </c>
      <c r="S14" s="4" t="n">
        <v>0.000388</v>
      </c>
      <c r="T14" s="4" t="n">
        <v>0.000431</v>
      </c>
      <c r="U14" s="4" t="n">
        <f aca="false">T14/(1-0.33)</f>
        <v>0.000643283582089552</v>
      </c>
      <c r="V14" s="4" t="n">
        <v>0.000502</v>
      </c>
      <c r="W14" s="4" t="n">
        <v>0.000502</v>
      </c>
      <c r="X14" s="4" t="n">
        <v>0.000441</v>
      </c>
      <c r="Y14" s="4" t="n">
        <v>0.00041895</v>
      </c>
      <c r="Z14" s="4" t="n">
        <v>0.000338</v>
      </c>
      <c r="AA14" s="4" t="n">
        <v>0.00032955</v>
      </c>
      <c r="AB14" s="4" t="n">
        <v>0.000405</v>
      </c>
      <c r="AC14" s="4" t="n">
        <v>0.0002699656</v>
      </c>
      <c r="AD14" s="4" t="n">
        <f aca="false">AC14/(1-0.1)</f>
        <v>0.000299961777777778</v>
      </c>
      <c r="AE14" s="4" t="n">
        <f aca="false">AC14/(1-0.15)</f>
        <v>0.000317606588235294</v>
      </c>
      <c r="AF14" s="4" t="n">
        <f aca="false">AC14/(1-0.2)</f>
        <v>0.000337457</v>
      </c>
      <c r="AG14" s="4" t="n">
        <f aca="false">AC14/(1-0.24)</f>
        <v>0.000355217894736842</v>
      </c>
      <c r="AH14" s="4" t="n">
        <v>0.00148</v>
      </c>
      <c r="AI14" s="4" t="n">
        <v>0.000405</v>
      </c>
      <c r="AJ14" s="4" t="n">
        <v>0.00085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0.00754</v>
      </c>
      <c r="AV14" s="4" t="n">
        <v>0.000228</v>
      </c>
      <c r="AW14" s="4" t="n">
        <v>0</v>
      </c>
      <c r="AX14" s="4" t="n">
        <v>0.00387</v>
      </c>
      <c r="AY14" s="4" t="n">
        <v>0.000243</v>
      </c>
      <c r="AZ14" s="5" t="n">
        <v>0</v>
      </c>
      <c r="BA14" s="5" t="n">
        <v>0.000147</v>
      </c>
      <c r="BB14" s="5" t="n">
        <v>0.00017</v>
      </c>
      <c r="BC14" s="5" t="n">
        <v>8E-005</v>
      </c>
      <c r="BD14" s="5" t="n">
        <v>0</v>
      </c>
      <c r="BE14" s="5" t="n">
        <v>0</v>
      </c>
      <c r="BF14" s="5" t="n">
        <v>0.0001509</v>
      </c>
      <c r="BG14" s="5" t="n">
        <f aca="false">BF14/(1-0.2)</f>
        <v>0.000188625</v>
      </c>
      <c r="BH14" s="5" t="n">
        <f aca="false">BF14/(1-0.25)</f>
        <v>0.0002012</v>
      </c>
      <c r="BI14" s="5" t="n">
        <v>8.31E-005</v>
      </c>
      <c r="BJ14" s="5" t="n">
        <v>0.000171</v>
      </c>
      <c r="BK14" s="5" t="n">
        <v>0</v>
      </c>
      <c r="BL14" s="5" t="n">
        <v>0.00149982</v>
      </c>
      <c r="BM14" s="5" t="n">
        <v>0.0014098308</v>
      </c>
    </row>
    <row r="15" customFormat="false" ht="15" hidden="false" customHeight="false" outlineLevel="0" collapsed="false">
      <c r="A15" s="2" t="n">
        <v>13</v>
      </c>
      <c r="B15" s="2" t="n">
        <v>0.00035996</v>
      </c>
      <c r="C15" s="4" t="n">
        <v>0.0003657639685</v>
      </c>
      <c r="D15" s="4" t="n">
        <v>0.00036576</v>
      </c>
      <c r="E15" s="4" t="n">
        <v>0.00039</v>
      </c>
      <c r="F15" s="4" t="n">
        <v>0.00039015</v>
      </c>
      <c r="G15" s="4" t="n">
        <v>0.00036088875</v>
      </c>
      <c r="H15" s="4" t="n">
        <v>0.00036867009180822</v>
      </c>
      <c r="I15" s="4" t="n">
        <v>0.00037926</v>
      </c>
      <c r="J15" s="4" t="n">
        <v>0.0003754674</v>
      </c>
      <c r="K15" s="4" t="n">
        <v>0.000379258152970392</v>
      </c>
      <c r="L15" s="5" t="n">
        <v>0.000320880321565238</v>
      </c>
      <c r="M15" s="5" t="n">
        <f aca="false">L15/(1-0.19)</f>
        <v>0.00039614854514227</v>
      </c>
      <c r="N15" s="5" t="n">
        <f aca="false">L15/(1-0.183)</f>
        <v>0.000392754371560879</v>
      </c>
      <c r="O15" s="5" t="n">
        <v>0.000392930985500808</v>
      </c>
      <c r="P15" s="5" t="n">
        <v>0.000321570391484044</v>
      </c>
      <c r="Q15" s="5" t="n">
        <v>0.000390210691044697</v>
      </c>
      <c r="R15" s="5" t="n">
        <v>0.00038045542376858</v>
      </c>
      <c r="S15" s="4" t="n">
        <v>0.000402</v>
      </c>
      <c r="T15" s="4" t="n">
        <v>0.000446</v>
      </c>
      <c r="U15" s="4" t="n">
        <f aca="false">T15/(1-0.33)</f>
        <v>0.000665671641791045</v>
      </c>
      <c r="V15" s="4" t="n">
        <v>0.000512</v>
      </c>
      <c r="W15" s="4" t="n">
        <v>0.000512</v>
      </c>
      <c r="X15" s="4" t="n">
        <v>0.000452</v>
      </c>
      <c r="Y15" s="4" t="n">
        <v>0.0004294</v>
      </c>
      <c r="Z15" s="4" t="n">
        <v>0.000344</v>
      </c>
      <c r="AA15" s="4" t="n">
        <v>0.0003354</v>
      </c>
      <c r="AB15" s="4" t="n">
        <v>0.000415</v>
      </c>
      <c r="AC15" s="4" t="n">
        <v>0.0003236332</v>
      </c>
      <c r="AD15" s="4" t="n">
        <f aca="false">AC15/(1-0.1)</f>
        <v>0.000359592444444444</v>
      </c>
      <c r="AE15" s="4" t="n">
        <f aca="false">AC15/(1-0.15)</f>
        <v>0.000380744941176471</v>
      </c>
      <c r="AF15" s="4" t="n">
        <f aca="false">AC15/(1-0.2)</f>
        <v>0.0004045415</v>
      </c>
      <c r="AG15" s="4" t="n">
        <f aca="false">AC15/(1-0.24)</f>
        <v>0.000425833157894737</v>
      </c>
      <c r="AH15" s="4" t="n">
        <v>0.00155</v>
      </c>
      <c r="AI15" s="4" t="n">
        <v>0.000413</v>
      </c>
      <c r="AJ15" s="4" t="n">
        <v>0.00099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0.00757</v>
      </c>
      <c r="AV15" s="4" t="n">
        <v>0.00024</v>
      </c>
      <c r="AW15" s="4" t="n">
        <v>0</v>
      </c>
      <c r="AX15" s="4" t="n">
        <v>0.00422</v>
      </c>
      <c r="AY15" s="4" t="n">
        <v>0.000275</v>
      </c>
      <c r="AZ15" s="5" t="n">
        <v>0</v>
      </c>
      <c r="BA15" s="5" t="n">
        <v>0.000188</v>
      </c>
      <c r="BB15" s="5" t="n">
        <v>0.000184</v>
      </c>
      <c r="BC15" s="5" t="n">
        <v>8.5E-005</v>
      </c>
      <c r="BD15" s="5" t="n">
        <v>0</v>
      </c>
      <c r="BE15" s="5" t="n">
        <v>0</v>
      </c>
      <c r="BF15" s="5" t="n">
        <v>0.0001911</v>
      </c>
      <c r="BG15" s="5" t="n">
        <f aca="false">BF15/(1-0.2)</f>
        <v>0.000238875</v>
      </c>
      <c r="BH15" s="5" t="n">
        <f aca="false">BF15/(1-0.25)</f>
        <v>0.0002548</v>
      </c>
      <c r="BI15" s="5" t="n">
        <v>9.71E-005</v>
      </c>
      <c r="BJ15" s="5" t="n">
        <v>0.000227</v>
      </c>
      <c r="BK15" s="5" t="n">
        <v>0</v>
      </c>
      <c r="BL15" s="5" t="n">
        <v>0.00150251</v>
      </c>
      <c r="BM15" s="5" t="n">
        <v>0.0014123594</v>
      </c>
    </row>
    <row r="16" customFormat="false" ht="15" hidden="false" customHeight="false" outlineLevel="0" collapsed="false">
      <c r="A16" s="2" t="n">
        <v>14</v>
      </c>
      <c r="B16" s="2" t="n">
        <v>0.00049427</v>
      </c>
      <c r="C16" s="4" t="n">
        <v>0.0005024985609</v>
      </c>
      <c r="D16" s="4" t="n">
        <v>0.0005025</v>
      </c>
      <c r="E16" s="4" t="n">
        <v>0.000546</v>
      </c>
      <c r="F16" s="4" t="n">
        <v>0.00054643</v>
      </c>
      <c r="G16" s="4" t="n">
        <v>0.00050544775</v>
      </c>
      <c r="H16" s="4" t="n">
        <v>0.000486169063135115</v>
      </c>
      <c r="I16" s="4" t="n">
        <v>0.00049951</v>
      </c>
      <c r="J16" s="4" t="n">
        <v>0.0004945149</v>
      </c>
      <c r="K16" s="4" t="n">
        <v>0.000499506095307257</v>
      </c>
      <c r="L16" s="5" t="n">
        <v>0.000408274240858562</v>
      </c>
      <c r="M16" s="5" t="n">
        <f aca="false">L16/(1-0.19)</f>
        <v>0.000504042272664891</v>
      </c>
      <c r="N16" s="5" t="n">
        <f aca="false">L16/(1-0.183)</f>
        <v>0.000499723673021495</v>
      </c>
      <c r="O16" s="5" t="n">
        <v>0.000524673801822737</v>
      </c>
      <c r="P16" s="5" t="n">
        <v>0.000411260910108925</v>
      </c>
      <c r="Q16" s="5" t="n">
        <v>0.000514428085494493</v>
      </c>
      <c r="R16" s="5" t="n">
        <v>0.000501567383357131</v>
      </c>
      <c r="S16" s="4" t="n">
        <v>0.000414</v>
      </c>
      <c r="T16" s="4" t="n">
        <v>0.000458</v>
      </c>
      <c r="U16" s="4" t="n">
        <f aca="false">T16/(1-0.33)</f>
        <v>0.000683582089552239</v>
      </c>
      <c r="V16" s="4" t="n">
        <v>0.000524</v>
      </c>
      <c r="W16" s="4" t="n">
        <v>0.000524</v>
      </c>
      <c r="X16" s="4" t="n">
        <v>0.000463</v>
      </c>
      <c r="Y16" s="4" t="n">
        <v>0.00043985</v>
      </c>
      <c r="Z16" s="4" t="n">
        <v>0.000352</v>
      </c>
      <c r="AA16" s="4" t="n">
        <v>0.0003432</v>
      </c>
      <c r="AB16" s="4" t="n">
        <v>0.000425</v>
      </c>
      <c r="AC16" s="4" t="n">
        <v>0.0003935276</v>
      </c>
      <c r="AD16" s="4" t="n">
        <f aca="false">AC16/(1-0.1)</f>
        <v>0.000437252888888889</v>
      </c>
      <c r="AE16" s="4" t="n">
        <f aca="false">AC16/(1-0.15)</f>
        <v>0.000462973647058824</v>
      </c>
      <c r="AF16" s="4" t="n">
        <f aca="false">AC16/(1-0.2)</f>
        <v>0.0004919095</v>
      </c>
      <c r="AG16" s="4" t="n">
        <f aca="false">AC16/(1-0.24)</f>
        <v>0.000517799473684211</v>
      </c>
      <c r="AH16" s="4" t="n">
        <v>0.00163</v>
      </c>
      <c r="AI16" s="4" t="n">
        <v>0.000422</v>
      </c>
      <c r="AJ16" s="4" t="n">
        <v>0.00115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0.0076</v>
      </c>
      <c r="AV16" s="4" t="n">
        <v>0.000254</v>
      </c>
      <c r="AW16" s="4" t="n">
        <v>0.001374</v>
      </c>
      <c r="AX16" s="4" t="n">
        <v>0.00466</v>
      </c>
      <c r="AY16" s="4" t="n">
        <v>0.00032</v>
      </c>
      <c r="AZ16" s="5" t="n">
        <v>0.00059</v>
      </c>
      <c r="BA16" s="5" t="n">
        <v>0.000236</v>
      </c>
      <c r="BB16" s="5" t="n">
        <v>0.000197</v>
      </c>
      <c r="BC16" s="5" t="n">
        <v>9E-005</v>
      </c>
      <c r="BD16" s="5" t="n">
        <v>0</v>
      </c>
      <c r="BE16" s="5" t="n">
        <v>0</v>
      </c>
      <c r="BF16" s="5" t="n">
        <v>0.0002557</v>
      </c>
      <c r="BG16" s="5" t="n">
        <f aca="false">BF16/(1-0.2)</f>
        <v>0.000319625</v>
      </c>
      <c r="BH16" s="5" t="n">
        <f aca="false">BF16/(1-0.25)</f>
        <v>0.000340933333333333</v>
      </c>
      <c r="BI16" s="5" t="n">
        <v>0.0001182</v>
      </c>
      <c r="BJ16" s="5" t="n">
        <v>0.00032</v>
      </c>
      <c r="BK16" s="5" t="n">
        <v>0</v>
      </c>
      <c r="BL16" s="5" t="n">
        <v>0.00150557</v>
      </c>
      <c r="BM16" s="5" t="n">
        <v>0.0014152358</v>
      </c>
    </row>
    <row r="17" customFormat="false" ht="15" hidden="false" customHeight="false" outlineLevel="0" collapsed="false">
      <c r="A17" s="2" t="n">
        <v>15</v>
      </c>
      <c r="B17" s="2" t="n">
        <v>0.0007012</v>
      </c>
      <c r="C17" s="4" t="n">
        <v>0.0007131301735</v>
      </c>
      <c r="D17" s="4" t="n">
        <v>0.00071313</v>
      </c>
      <c r="E17" s="4" t="n">
        <v>0.00079</v>
      </c>
      <c r="F17" s="4" t="n">
        <v>0.00078962</v>
      </c>
      <c r="G17" s="4" t="n">
        <v>0.0007303985</v>
      </c>
      <c r="H17" s="4" t="n">
        <v>0.000965808155100959</v>
      </c>
      <c r="I17" s="4" t="n">
        <v>0.00098635</v>
      </c>
      <c r="J17" s="4" t="n">
        <v>0.0009764865</v>
      </c>
      <c r="K17" s="4" t="n">
        <v>0.000986346113884097</v>
      </c>
      <c r="L17" s="5" t="n">
        <v>0.000683190776938691</v>
      </c>
      <c r="M17" s="5" t="n">
        <f aca="false">L17/(1-0.19)</f>
        <v>0.000843445403628013</v>
      </c>
      <c r="N17" s="5" t="n">
        <f aca="false">L17/(1-0.183)</f>
        <v>0.000836218821222388</v>
      </c>
      <c r="O17" s="5" t="n">
        <v>0.00100747065783449</v>
      </c>
      <c r="P17" s="5" t="n">
        <v>0.000695017313631675</v>
      </c>
      <c r="Q17" s="5" t="n">
        <v>0.00102411272595534</v>
      </c>
      <c r="R17" s="5" t="n">
        <v>0.000998509907806454</v>
      </c>
      <c r="S17" s="4" t="n">
        <v>0.000425</v>
      </c>
      <c r="T17" s="4" t="n">
        <v>0.00047</v>
      </c>
      <c r="U17" s="4" t="n">
        <f aca="false">T17/(1-0.33)</f>
        <v>0.000701492537313433</v>
      </c>
      <c r="V17" s="4" t="n">
        <v>0.000537</v>
      </c>
      <c r="W17" s="4" t="n">
        <v>0.000537</v>
      </c>
      <c r="X17" s="4" t="n">
        <v>0.000475</v>
      </c>
      <c r="Y17" s="4" t="n">
        <v>0.00045125</v>
      </c>
      <c r="Z17" s="4" t="n">
        <v>0.000361</v>
      </c>
      <c r="AA17" s="4" t="n">
        <v>0.000351975</v>
      </c>
      <c r="AB17" s="4" t="n">
        <v>0.000435</v>
      </c>
      <c r="AC17" s="4" t="n">
        <v>0.0004763501</v>
      </c>
      <c r="AD17" s="4" t="n">
        <f aca="false">AC17/(1-0.1)</f>
        <v>0.000529277888888889</v>
      </c>
      <c r="AE17" s="4" t="n">
        <f aca="false">AC17/(1-0.15)</f>
        <v>0.000560411882352941</v>
      </c>
      <c r="AF17" s="4" t="n">
        <f aca="false">AC17/(1-0.2)</f>
        <v>0.000595437625</v>
      </c>
      <c r="AG17" s="4" t="n">
        <f aca="false">AC17/(1-0.24)</f>
        <v>0.000626776447368421</v>
      </c>
      <c r="AH17" s="4" t="n">
        <v>0.00172</v>
      </c>
      <c r="AI17" s="4" t="n">
        <v>0.000433</v>
      </c>
      <c r="AJ17" s="4" t="n">
        <v>0.00133</v>
      </c>
      <c r="AK17" s="4" t="n">
        <v>0.001195</v>
      </c>
      <c r="AL17" s="4" t="n">
        <v>0.001579</v>
      </c>
      <c r="AM17" s="4" t="n">
        <v>0.001288</v>
      </c>
      <c r="AN17" s="4" t="n">
        <v>0.000531</v>
      </c>
      <c r="AO17" s="4" t="n">
        <v>0.00044604</v>
      </c>
      <c r="AP17" s="4" t="n">
        <v>0.00044073</v>
      </c>
      <c r="AQ17" s="4" t="n">
        <v>0.00043542</v>
      </c>
      <c r="AR17" s="4" t="n">
        <v>0.00043011</v>
      </c>
      <c r="AS17" s="4" t="n">
        <v>0.000427455</v>
      </c>
      <c r="AT17" s="4" t="n">
        <v>0.0004248</v>
      </c>
      <c r="AU17" s="4" t="n">
        <v>0.00763</v>
      </c>
      <c r="AV17" s="4" t="n">
        <v>0.000269</v>
      </c>
      <c r="AW17" s="4" t="n">
        <v>0.001407</v>
      </c>
      <c r="AX17" s="4" t="n">
        <v>0.00515</v>
      </c>
      <c r="AY17" s="4" t="n">
        <v>0.000371</v>
      </c>
      <c r="AZ17" s="5" t="n">
        <v>0.00071</v>
      </c>
      <c r="BA17" s="5" t="n">
        <v>0.000282</v>
      </c>
      <c r="BB17" s="5" t="n">
        <v>0.000208</v>
      </c>
      <c r="BC17" s="5" t="n">
        <v>9.5E-005</v>
      </c>
      <c r="BD17" s="5" t="n">
        <v>0</v>
      </c>
      <c r="BE17" s="5" t="n">
        <v>0.00229</v>
      </c>
      <c r="BF17" s="5" t="n">
        <v>0.0003486</v>
      </c>
      <c r="BG17" s="5" t="n">
        <f aca="false">BF17/(1-0.2)</f>
        <v>0.00043575</v>
      </c>
      <c r="BH17" s="5" t="n">
        <f aca="false">BF17/(1-0.25)</f>
        <v>0.0004648</v>
      </c>
      <c r="BI17" s="5" t="n">
        <v>0.0001487</v>
      </c>
      <c r="BJ17" s="5" t="n">
        <v>0.000451</v>
      </c>
      <c r="BK17" s="5" t="n">
        <v>0</v>
      </c>
      <c r="BL17" s="5" t="n">
        <v>0.00150907</v>
      </c>
      <c r="BM17" s="5" t="n">
        <v>0.0014185258</v>
      </c>
    </row>
    <row r="18" customFormat="false" ht="15" hidden="false" customHeight="false" outlineLevel="0" collapsed="false">
      <c r="A18" s="2" t="n">
        <v>16</v>
      </c>
      <c r="B18" s="2" t="n">
        <v>0.00098842</v>
      </c>
      <c r="C18" s="4" t="n">
        <v>0.001005475219</v>
      </c>
      <c r="D18" s="4" t="n">
        <v>0.00100548</v>
      </c>
      <c r="E18" s="4" t="n">
        <v>0.001132</v>
      </c>
      <c r="F18" s="4" t="n">
        <v>0.00113173</v>
      </c>
      <c r="G18" s="4" t="n">
        <v>0.00104685025</v>
      </c>
      <c r="H18" s="4" t="n">
        <v>0.00123529546887386</v>
      </c>
      <c r="I18" s="4" t="n">
        <v>0.00126049</v>
      </c>
      <c r="J18" s="4" t="n">
        <v>0.0012478851</v>
      </c>
      <c r="K18" s="4" t="n">
        <v>0.00126048536240546</v>
      </c>
      <c r="L18" s="5" t="n">
        <v>0.000849580037212388</v>
      </c>
      <c r="M18" s="5" t="n">
        <f aca="false">L18/(1-0.19)</f>
        <v>0.00104886424347208</v>
      </c>
      <c r="N18" s="5" t="n">
        <f aca="false">L18/(1-0.183)</f>
        <v>0.00103987764652679</v>
      </c>
      <c r="O18" s="5" t="n">
        <v>0.00128577644825805</v>
      </c>
      <c r="P18" s="5" t="n">
        <v>0.000866466010238495</v>
      </c>
      <c r="Q18" s="5" t="n">
        <v>0.00131045031364201</v>
      </c>
      <c r="R18" s="5" t="n">
        <v>0.00127768905580096</v>
      </c>
      <c r="S18" s="4" t="n">
        <v>0.000437</v>
      </c>
      <c r="T18" s="4" t="n">
        <v>0.000481</v>
      </c>
      <c r="U18" s="4" t="n">
        <f aca="false">T18/(1-0.33)</f>
        <v>0.000717910447761194</v>
      </c>
      <c r="V18" s="4" t="n">
        <v>0.000551</v>
      </c>
      <c r="W18" s="4" t="n">
        <v>0.000551</v>
      </c>
      <c r="X18" s="4" t="n">
        <v>0.000488</v>
      </c>
      <c r="Y18" s="4" t="n">
        <v>0.0004636</v>
      </c>
      <c r="Z18" s="4" t="n">
        <v>0.00037</v>
      </c>
      <c r="AA18" s="4" t="n">
        <v>0.00036075</v>
      </c>
      <c r="AB18" s="4" t="n">
        <v>0.000446</v>
      </c>
      <c r="AC18" s="4" t="n">
        <v>0.0005678099</v>
      </c>
      <c r="AD18" s="4" t="n">
        <f aca="false">AC18/(1-0.1)</f>
        <v>0.000630899888888889</v>
      </c>
      <c r="AE18" s="4" t="n">
        <f aca="false">AC18/(1-0.15)</f>
        <v>0.000668011647058824</v>
      </c>
      <c r="AF18" s="4" t="n">
        <f aca="false">AC18/(1-0.2)</f>
        <v>0.000709762375</v>
      </c>
      <c r="AG18" s="4" t="n">
        <f aca="false">AC18/(1-0.24)</f>
        <v>0.000747118289473684</v>
      </c>
      <c r="AH18" s="4" t="n">
        <v>0.00181</v>
      </c>
      <c r="AI18" s="4" t="n">
        <v>0.000444</v>
      </c>
      <c r="AJ18" s="4" t="n">
        <v>0.00151</v>
      </c>
      <c r="AK18" s="4" t="n">
        <v>0.00121</v>
      </c>
      <c r="AL18" s="4" t="n">
        <v>0.001595</v>
      </c>
      <c r="AM18" s="4" t="n">
        <v>0.001289</v>
      </c>
      <c r="AN18" s="4" t="n">
        <v>0.000544</v>
      </c>
      <c r="AO18" s="4" t="n">
        <v>0.00045696</v>
      </c>
      <c r="AP18" s="4" t="n">
        <v>0.00045152</v>
      </c>
      <c r="AQ18" s="4" t="n">
        <v>0.00044608</v>
      </c>
      <c r="AR18" s="4" t="n">
        <v>0.00044064</v>
      </c>
      <c r="AS18" s="4" t="n">
        <v>0.00043792</v>
      </c>
      <c r="AT18" s="4" t="n">
        <v>0.0004352</v>
      </c>
      <c r="AU18" s="4" t="n">
        <v>0.00766</v>
      </c>
      <c r="AV18" s="4" t="n">
        <v>0.000284</v>
      </c>
      <c r="AW18" s="4" t="n">
        <v>0.001444</v>
      </c>
      <c r="AX18" s="4" t="n">
        <v>0.00565</v>
      </c>
      <c r="AY18" s="4" t="n">
        <v>0.000421</v>
      </c>
      <c r="AZ18" s="5" t="n">
        <v>0.00082</v>
      </c>
      <c r="BA18" s="5" t="n">
        <v>0.000325</v>
      </c>
      <c r="BB18" s="5" t="n">
        <v>0.000219</v>
      </c>
      <c r="BC18" s="5" t="n">
        <v>0.0001</v>
      </c>
      <c r="BD18" s="5" t="n">
        <v>0</v>
      </c>
      <c r="BE18" s="5" t="n">
        <v>0.0023</v>
      </c>
      <c r="BF18" s="5" t="n">
        <v>0.0004682</v>
      </c>
      <c r="BG18" s="5" t="n">
        <f aca="false">BF18/(1-0.2)</f>
        <v>0.00058525</v>
      </c>
      <c r="BH18" s="5" t="n">
        <f aca="false">BF18/(1-0.25)</f>
        <v>0.000624266666666667</v>
      </c>
      <c r="BI18" s="5" t="n">
        <v>0.0001909</v>
      </c>
      <c r="BJ18" s="5" t="n">
        <v>0.000622</v>
      </c>
      <c r="BK18" s="5" t="n">
        <v>0</v>
      </c>
      <c r="BL18" s="5" t="n">
        <v>0.00151307</v>
      </c>
      <c r="BM18" s="5" t="n">
        <v>0.0014222858</v>
      </c>
    </row>
    <row r="19" customFormat="false" ht="15" hidden="false" customHeight="false" outlineLevel="0" collapsed="false">
      <c r="A19" s="2" t="n">
        <v>17</v>
      </c>
      <c r="B19" s="2" t="n">
        <v>0.00133466</v>
      </c>
      <c r="C19" s="4" t="n">
        <v>0.00135792084</v>
      </c>
      <c r="D19" s="4" t="n">
        <v>0.00135792</v>
      </c>
      <c r="E19" s="4" t="n">
        <v>0.00155</v>
      </c>
      <c r="F19" s="4" t="n">
        <v>0.00155032</v>
      </c>
      <c r="G19" s="4" t="n">
        <v>0.001434046</v>
      </c>
      <c r="H19" s="4" t="n">
        <v>0.00147935024421708</v>
      </c>
      <c r="I19" s="4" t="n">
        <v>0.00150933</v>
      </c>
      <c r="J19" s="4" t="n">
        <v>0.0014942367</v>
      </c>
      <c r="K19" s="4" t="n">
        <v>0.001509331888435</v>
      </c>
      <c r="L19" s="5" t="n">
        <v>0.00099755244550013</v>
      </c>
      <c r="M19" s="5" t="n">
        <f aca="false">L19/(1-0.19)</f>
        <v>0.00123154622901251</v>
      </c>
      <c r="N19" s="5" t="n">
        <f aca="false">L19/(1-0.183)</f>
        <v>0.00122099442533676</v>
      </c>
      <c r="O19" s="5" t="n">
        <v>0.00153906296289327</v>
      </c>
      <c r="P19" s="5" t="n">
        <v>0.00101869029573574</v>
      </c>
      <c r="Q19" s="5" t="n">
        <v>0.0015706854501045</v>
      </c>
      <c r="R19" s="5" t="n">
        <v>0.00153141831385188</v>
      </c>
      <c r="S19" s="4" t="n">
        <v>0.000449</v>
      </c>
      <c r="T19" s="4" t="n">
        <v>0.000495</v>
      </c>
      <c r="U19" s="4" t="n">
        <f aca="false">T19/(1-0.33)</f>
        <v>0.000738805970149254</v>
      </c>
      <c r="V19" s="4" t="n">
        <v>0.000567</v>
      </c>
      <c r="W19" s="4" t="n">
        <v>0.000567</v>
      </c>
      <c r="X19" s="4" t="n">
        <v>0.000502</v>
      </c>
      <c r="Y19" s="4" t="n">
        <v>0.0004769</v>
      </c>
      <c r="Z19" s="4" t="n">
        <v>0.000381</v>
      </c>
      <c r="AA19" s="4" t="n">
        <v>0.000371475</v>
      </c>
      <c r="AB19" s="4" t="n">
        <v>0.000458</v>
      </c>
      <c r="AC19" s="4" t="n">
        <v>0.0006615395</v>
      </c>
      <c r="AD19" s="4" t="n">
        <f aca="false">AC19/(1-0.1)</f>
        <v>0.000735043888888889</v>
      </c>
      <c r="AE19" s="4" t="n">
        <f aca="false">AC19/(1-0.15)</f>
        <v>0.000778281764705882</v>
      </c>
      <c r="AF19" s="4" t="n">
        <f aca="false">AC19/(1-0.2)</f>
        <v>0.000826924375</v>
      </c>
      <c r="AG19" s="4" t="n">
        <f aca="false">AC19/(1-0.24)</f>
        <v>0.000870446710526316</v>
      </c>
      <c r="AH19" s="4" t="n">
        <v>0.0019</v>
      </c>
      <c r="AI19" s="4" t="n">
        <v>0.000457</v>
      </c>
      <c r="AJ19" s="4" t="n">
        <v>0.00167</v>
      </c>
      <c r="AK19" s="4" t="n">
        <v>0.001225</v>
      </c>
      <c r="AL19" s="4" t="n">
        <v>0.001601</v>
      </c>
      <c r="AM19" s="4" t="n">
        <v>0.00129</v>
      </c>
      <c r="AN19" s="4" t="n">
        <v>0.000559</v>
      </c>
      <c r="AO19" s="4" t="n">
        <v>0.00046956</v>
      </c>
      <c r="AP19" s="4" t="n">
        <v>0.00046397</v>
      </c>
      <c r="AQ19" s="4" t="n">
        <v>0.00045838</v>
      </c>
      <c r="AR19" s="4" t="n">
        <v>0.00045279</v>
      </c>
      <c r="AS19" s="4" t="n">
        <v>0.000449995</v>
      </c>
      <c r="AT19" s="4" t="n">
        <v>0.0004472</v>
      </c>
      <c r="AU19" s="4" t="n">
        <v>0.00769</v>
      </c>
      <c r="AV19" s="4" t="n">
        <v>0.000301</v>
      </c>
      <c r="AW19" s="4" t="n">
        <v>0.001485</v>
      </c>
      <c r="AX19" s="4" t="n">
        <v>0.0061</v>
      </c>
      <c r="AY19" s="4" t="n">
        <v>0.000463</v>
      </c>
      <c r="AZ19" s="5" t="n">
        <v>0.00093</v>
      </c>
      <c r="BA19" s="5" t="n">
        <v>0.000364</v>
      </c>
      <c r="BB19" s="5" t="n">
        <v>0.000227</v>
      </c>
      <c r="BC19" s="5" t="n">
        <v>0.000105</v>
      </c>
      <c r="BD19" s="5" t="n">
        <v>0</v>
      </c>
      <c r="BE19" s="5" t="n">
        <v>0.0023</v>
      </c>
      <c r="BF19" s="5" t="n">
        <v>0.0006352</v>
      </c>
      <c r="BG19" s="5" t="n">
        <f aca="false">BF19/(1-0.2)</f>
        <v>0.000794</v>
      </c>
      <c r="BH19" s="5" t="n">
        <f aca="false">BF19/(1-0.25)</f>
        <v>0.000846933333333333</v>
      </c>
      <c r="BI19" s="5" t="n">
        <v>0.0002796</v>
      </c>
      <c r="BJ19" s="5" t="n">
        <v>0.000826</v>
      </c>
      <c r="BK19" s="5" t="n">
        <v>0</v>
      </c>
      <c r="BL19" s="5" t="n">
        <v>0.00151764</v>
      </c>
      <c r="BM19" s="5" t="n">
        <v>0.0014265816</v>
      </c>
    </row>
    <row r="20" customFormat="false" ht="15" hidden="false" customHeight="false" outlineLevel="0" collapsed="false">
      <c r="A20" s="2" t="n">
        <v>18</v>
      </c>
      <c r="B20" s="2" t="n">
        <v>0.00168747</v>
      </c>
      <c r="C20" s="4" t="n">
        <v>0.001717100565</v>
      </c>
      <c r="D20" s="4" t="n">
        <v>0.0017171</v>
      </c>
      <c r="E20" s="4" t="n">
        <v>0.001982</v>
      </c>
      <c r="F20" s="4" t="n">
        <v>0.00198246</v>
      </c>
      <c r="G20" s="4" t="n">
        <v>0.0018337755</v>
      </c>
      <c r="H20" s="4" t="n">
        <v>0.00167775878138195</v>
      </c>
      <c r="I20" s="4" t="n">
        <v>0.0017125</v>
      </c>
      <c r="J20" s="4" t="n">
        <v>0.001695375</v>
      </c>
      <c r="K20" s="4" t="n">
        <v>0.00171249934212905</v>
      </c>
      <c r="L20" s="5" t="n">
        <v>0.00111379442251908</v>
      </c>
      <c r="M20" s="5" t="n">
        <f aca="false">L20/(1-0.19)</f>
        <v>0.00137505484261615</v>
      </c>
      <c r="N20" s="5" t="n">
        <f aca="false">L20/(1-0.183)</f>
        <v>0.00136327346697562</v>
      </c>
      <c r="O20" s="5" t="n">
        <v>0.00174693721201502</v>
      </c>
      <c r="P20" s="5" t="n">
        <v>0.00113787396454983</v>
      </c>
      <c r="Q20" s="5" t="n">
        <v>0.0017835837336976</v>
      </c>
      <c r="R20" s="5" t="n">
        <v>0.00173899414035516</v>
      </c>
      <c r="S20" s="4" t="n">
        <v>0.000463</v>
      </c>
      <c r="T20" s="4" t="n">
        <v>0.00051</v>
      </c>
      <c r="U20" s="4" t="n">
        <f aca="false">T20/(1-0.33)</f>
        <v>0.000761194029850746</v>
      </c>
      <c r="V20" s="4" t="n">
        <v>0.000584</v>
      </c>
      <c r="W20" s="4" t="n">
        <v>0.000584</v>
      </c>
      <c r="X20" s="4" t="n">
        <v>0.000517</v>
      </c>
      <c r="Y20" s="4" t="n">
        <v>0.00049115</v>
      </c>
      <c r="Z20" s="4" t="n">
        <v>0.000392</v>
      </c>
      <c r="AA20" s="4" t="n">
        <v>0.0003822</v>
      </c>
      <c r="AB20" s="4" t="n">
        <v>0.000472</v>
      </c>
      <c r="AC20" s="4" t="n">
        <v>0.0007515943</v>
      </c>
      <c r="AD20" s="4" t="n">
        <f aca="false">AC20/(1-0.1)</f>
        <v>0.000835104777777778</v>
      </c>
      <c r="AE20" s="4" t="n">
        <f aca="false">AC20/(1-0.15)</f>
        <v>0.000884228588235294</v>
      </c>
      <c r="AF20" s="4" t="n">
        <f aca="false">AC20/(1-0.2)</f>
        <v>0.000939492875</v>
      </c>
      <c r="AG20" s="4" t="n">
        <f aca="false">AC20/(1-0.24)</f>
        <v>0.000988939868421053</v>
      </c>
      <c r="AH20" s="4" t="n">
        <v>0.00199</v>
      </c>
      <c r="AI20" s="4" t="n">
        <v>0.000471</v>
      </c>
      <c r="AJ20" s="4" t="n">
        <v>0.00178</v>
      </c>
      <c r="AK20" s="4" t="n">
        <v>0.00124</v>
      </c>
      <c r="AL20" s="4" t="n">
        <v>0.001595</v>
      </c>
      <c r="AM20" s="4" t="n">
        <v>0.001291</v>
      </c>
      <c r="AN20" s="4" t="n">
        <v>0.000576</v>
      </c>
      <c r="AO20" s="4" t="n">
        <v>0.00048384</v>
      </c>
      <c r="AP20" s="4" t="n">
        <v>0.00047808</v>
      </c>
      <c r="AQ20" s="4" t="n">
        <v>0.00047232</v>
      </c>
      <c r="AR20" s="4" t="n">
        <v>0.00046656</v>
      </c>
      <c r="AS20" s="4" t="n">
        <v>0.00046368</v>
      </c>
      <c r="AT20" s="4" t="n">
        <v>0.0004608</v>
      </c>
      <c r="AU20" s="4" t="n">
        <v>0.00773</v>
      </c>
      <c r="AV20" s="4" t="n">
        <v>0.000316</v>
      </c>
      <c r="AW20" s="4" t="n">
        <v>0.001529</v>
      </c>
      <c r="AX20" s="4" t="n">
        <v>0.00648</v>
      </c>
      <c r="AY20" s="4" t="n">
        <v>0.000495</v>
      </c>
      <c r="AZ20" s="5" t="n">
        <v>0.00102</v>
      </c>
      <c r="BA20" s="5" t="n">
        <v>0.000399</v>
      </c>
      <c r="BB20" s="5" t="n">
        <v>0.000235</v>
      </c>
      <c r="BC20" s="5" t="n">
        <v>0.00011</v>
      </c>
      <c r="BD20" s="5" t="n">
        <v>0</v>
      </c>
      <c r="BE20" s="5" t="n">
        <v>0.00231</v>
      </c>
      <c r="BF20" s="5" t="n">
        <v>0.0008963</v>
      </c>
      <c r="BG20" s="5" t="n">
        <f aca="false">BF20/(1-0.2)</f>
        <v>0.001120375</v>
      </c>
      <c r="BH20" s="5" t="n">
        <f aca="false">BF20/(1-0.25)</f>
        <v>0.00119506666666667</v>
      </c>
      <c r="BI20" s="5" t="n">
        <v>0.000374</v>
      </c>
      <c r="BJ20" s="5" t="n">
        <v>0.001026</v>
      </c>
      <c r="BK20" s="5" t="n">
        <v>0.000236</v>
      </c>
      <c r="BL20" s="5" t="n">
        <v>0.00152286</v>
      </c>
      <c r="BM20" s="5" t="n">
        <v>0.0014314884</v>
      </c>
    </row>
    <row r="21" customFormat="false" ht="15.75" hidden="false" customHeight="true" outlineLevel="0" collapsed="false">
      <c r="A21" s="2" t="n">
        <v>19</v>
      </c>
      <c r="B21" s="2" t="n">
        <v>0.00197295</v>
      </c>
      <c r="C21" s="4" t="n">
        <v>0.002007773798</v>
      </c>
      <c r="D21" s="4" t="n">
        <v>0.00200777</v>
      </c>
      <c r="E21" s="4" t="n">
        <v>0.002335</v>
      </c>
      <c r="F21" s="4" t="n">
        <v>0.00233505</v>
      </c>
      <c r="G21" s="4" t="n">
        <v>0.00215992125</v>
      </c>
      <c r="H21" s="4" t="n">
        <v>0.00183639558113604</v>
      </c>
      <c r="I21" s="4" t="n">
        <v>0.00187572</v>
      </c>
      <c r="J21" s="4" t="n">
        <v>0.0018569628</v>
      </c>
      <c r="K21" s="4" t="n">
        <v>0.001875718987135</v>
      </c>
      <c r="L21" s="5" t="n">
        <v>0.00120345395001552</v>
      </c>
      <c r="M21" s="5" t="n">
        <f aca="false">L21/(1-0.19)</f>
        <v>0.00148574561730311</v>
      </c>
      <c r="N21" s="5" t="n">
        <f aca="false">L21/(1-0.183)</f>
        <v>0.00147301585069219</v>
      </c>
      <c r="O21" s="5" t="n">
        <v>0.00191490369583366</v>
      </c>
      <c r="P21" s="5" t="n">
        <v>0.00122942177349404</v>
      </c>
      <c r="Q21" s="5" t="n">
        <v>0.00195507997002907</v>
      </c>
      <c r="R21" s="5" t="n">
        <v>0.00190620297077835</v>
      </c>
      <c r="S21" s="4" t="n">
        <v>0.00048</v>
      </c>
      <c r="T21" s="4" t="n">
        <v>0.000528</v>
      </c>
      <c r="U21" s="4" t="n">
        <f aca="false">T21/(1-0.33)</f>
        <v>0.000788059701492538</v>
      </c>
      <c r="V21" s="4" t="n">
        <v>0.000603</v>
      </c>
      <c r="W21" s="4" t="n">
        <v>0.000603</v>
      </c>
      <c r="X21" s="4" t="n">
        <v>0.000534</v>
      </c>
      <c r="Y21" s="4" t="n">
        <v>0.0005073</v>
      </c>
      <c r="Z21" s="4" t="n">
        <v>0.000405</v>
      </c>
      <c r="AA21" s="4" t="n">
        <v>0.000394875</v>
      </c>
      <c r="AB21" s="4" t="n">
        <v>0.000488</v>
      </c>
      <c r="AC21" s="4" t="n">
        <v>0.0008328873</v>
      </c>
      <c r="AD21" s="4" t="n">
        <f aca="false">AC21/(1-0.1)</f>
        <v>0.000925430333333333</v>
      </c>
      <c r="AE21" s="4" t="n">
        <f aca="false">AC21/(1-0.15)</f>
        <v>0.000979867411764706</v>
      </c>
      <c r="AF21" s="4" t="n">
        <f aca="false">AC21/(1-0.2)</f>
        <v>0.001041109125</v>
      </c>
      <c r="AG21" s="4" t="n">
        <f aca="false">AC21/(1-0.24)</f>
        <v>0.00109590434210526</v>
      </c>
      <c r="AH21" s="4" t="n">
        <v>0.00203</v>
      </c>
      <c r="AI21" s="4" t="n">
        <v>0.000486</v>
      </c>
      <c r="AJ21" s="4" t="n">
        <v>0.00186</v>
      </c>
      <c r="AK21" s="4" t="n">
        <v>0.001255</v>
      </c>
      <c r="AL21" s="4" t="n">
        <v>0.001579</v>
      </c>
      <c r="AM21" s="4" t="n">
        <v>0.001292</v>
      </c>
      <c r="AN21" s="4" t="n">
        <v>0.000594</v>
      </c>
      <c r="AO21" s="4" t="n">
        <v>0.00049896</v>
      </c>
      <c r="AP21" s="4" t="n">
        <v>0.00049302</v>
      </c>
      <c r="AQ21" s="4" t="n">
        <v>0.00048708</v>
      </c>
      <c r="AR21" s="4" t="n">
        <v>0.00048114</v>
      </c>
      <c r="AS21" s="4" t="n">
        <v>0.00047817</v>
      </c>
      <c r="AT21" s="4" t="n">
        <v>0.0004752</v>
      </c>
      <c r="AU21" s="4" t="n">
        <v>0.00777</v>
      </c>
      <c r="AV21" s="4" t="n">
        <v>0.000331</v>
      </c>
      <c r="AW21" s="4" t="n">
        <v>0.001579</v>
      </c>
      <c r="AX21" s="4" t="n">
        <v>0.00675</v>
      </c>
      <c r="AY21" s="4" t="n">
        <v>0.000521</v>
      </c>
      <c r="AZ21" s="5" t="n">
        <v>0.00108</v>
      </c>
      <c r="BA21" s="5" t="n">
        <v>0.00043</v>
      </c>
      <c r="BB21" s="5" t="n">
        <v>0.000241</v>
      </c>
      <c r="BC21" s="5" t="n">
        <v>0.000115</v>
      </c>
      <c r="BD21" s="5" t="n">
        <v>0</v>
      </c>
      <c r="BE21" s="5" t="n">
        <v>0.00232</v>
      </c>
      <c r="BF21" s="5" t="n">
        <v>0.0010702</v>
      </c>
      <c r="BG21" s="5" t="n">
        <f aca="false">BF21/(1-0.2)</f>
        <v>0.00133775</v>
      </c>
      <c r="BH21" s="5" t="n">
        <f aca="false">BF21/(1-0.25)</f>
        <v>0.00142693333333333</v>
      </c>
      <c r="BI21" s="5" t="n">
        <v>0.0004909</v>
      </c>
      <c r="BJ21" s="5" t="n">
        <v>0.001182</v>
      </c>
      <c r="BK21" s="5" t="n">
        <v>0.000247</v>
      </c>
      <c r="BL21" s="5" t="n">
        <v>0.00152882</v>
      </c>
      <c r="BM21" s="5" t="n">
        <v>0.0014370908</v>
      </c>
    </row>
    <row r="22" customFormat="false" ht="15.75" hidden="false" customHeight="true" outlineLevel="0" collapsed="false">
      <c r="A22" s="2" t="n">
        <v>20</v>
      </c>
      <c r="B22" s="2" t="n">
        <v>0.00215957</v>
      </c>
      <c r="C22" s="4" t="n">
        <v>0.002197822533</v>
      </c>
      <c r="D22" s="4" t="n">
        <v>0.00219782</v>
      </c>
      <c r="E22" s="4" t="n">
        <v>0.002563</v>
      </c>
      <c r="F22" s="4" t="n">
        <v>0.00256261</v>
      </c>
      <c r="G22" s="4" t="n">
        <v>0.00237041425</v>
      </c>
      <c r="H22" s="4" t="n">
        <v>0.00199484713889125</v>
      </c>
      <c r="I22" s="4" t="n">
        <v>0.00203912</v>
      </c>
      <c r="J22" s="4" t="n">
        <v>0.0020187288</v>
      </c>
      <c r="K22" s="4" t="n">
        <v>0.0020391216336912</v>
      </c>
      <c r="L22" s="5" t="n">
        <v>0.00129227381619757</v>
      </c>
      <c r="M22" s="5" t="n">
        <f aca="false">L22/(1-0.19)</f>
        <v>0.00159539977308342</v>
      </c>
      <c r="N22" s="5" t="n">
        <f aca="false">L22/(1-0.183)</f>
        <v>0.00158173049718185</v>
      </c>
      <c r="O22" s="5" t="n">
        <v>0.00208339227077179</v>
      </c>
      <c r="P22" s="5" t="n">
        <v>0.00132008859648868</v>
      </c>
      <c r="Q22" s="5" t="n">
        <v>0.00212673061765505</v>
      </c>
      <c r="R22" s="5" t="n">
        <v>0.00207356235221367</v>
      </c>
      <c r="S22" s="4" t="n">
        <v>0.000499</v>
      </c>
      <c r="T22" s="4" t="n">
        <v>0.000549</v>
      </c>
      <c r="U22" s="4" t="n">
        <f aca="false">T22/(1-0.33)</f>
        <v>0.000819402985074627</v>
      </c>
      <c r="V22" s="4" t="n">
        <v>0.000624</v>
      </c>
      <c r="W22" s="4" t="n">
        <v>0.000624</v>
      </c>
      <c r="X22" s="4" t="n">
        <v>0.000553</v>
      </c>
      <c r="Y22" s="4" t="n">
        <v>0.00052535</v>
      </c>
      <c r="Z22" s="4" t="n">
        <v>0.000419</v>
      </c>
      <c r="AA22" s="4" t="n">
        <v>0.000408525</v>
      </c>
      <c r="AB22" s="4" t="n">
        <v>0.000505</v>
      </c>
      <c r="AC22" s="4" t="n">
        <v>0.0009020711</v>
      </c>
      <c r="AD22" s="4" t="n">
        <f aca="false">AC22/(1-0.1)</f>
        <v>0.00100230122222222</v>
      </c>
      <c r="AE22" s="4" t="n">
        <f aca="false">AC22/(1-0.15)</f>
        <v>0.00106126011764706</v>
      </c>
      <c r="AF22" s="4" t="n">
        <f aca="false">AC22/(1-0.2)</f>
        <v>0.001127588875</v>
      </c>
      <c r="AG22" s="4" t="n">
        <f aca="false">AC22/(1-0.24)</f>
        <v>0.00118693565789474</v>
      </c>
      <c r="AH22" s="4" t="n">
        <v>0.00209</v>
      </c>
      <c r="AI22" s="4" t="n">
        <v>0.000503</v>
      </c>
      <c r="AJ22" s="4" t="n">
        <v>0.0019</v>
      </c>
      <c r="AK22" s="4" t="n">
        <v>0.00127</v>
      </c>
      <c r="AL22" s="4" t="n">
        <v>0.00155</v>
      </c>
      <c r="AM22" s="4" t="n">
        <v>0.001294</v>
      </c>
      <c r="AN22" s="4" t="n">
        <v>0.000614</v>
      </c>
      <c r="AO22" s="4" t="n">
        <v>0.00051576</v>
      </c>
      <c r="AP22" s="4" t="n">
        <v>0.00050962</v>
      </c>
      <c r="AQ22" s="4" t="n">
        <v>0.00050348</v>
      </c>
      <c r="AR22" s="4" t="n">
        <v>0.00049734</v>
      </c>
      <c r="AS22" s="4" t="n">
        <v>0.00049427</v>
      </c>
      <c r="AT22" s="4" t="n">
        <v>0.0004912</v>
      </c>
      <c r="AU22" s="4" t="n">
        <v>0.0078</v>
      </c>
      <c r="AV22" s="4" t="n">
        <v>0.000345</v>
      </c>
      <c r="AW22" s="4" t="n">
        <v>0.001633</v>
      </c>
      <c r="AX22" s="4" t="n">
        <v>0.0069</v>
      </c>
      <c r="AY22" s="4" t="n">
        <v>0.000545</v>
      </c>
      <c r="AZ22" s="5" t="n">
        <v>0.00115</v>
      </c>
      <c r="BA22" s="5" t="n">
        <v>0.000459</v>
      </c>
      <c r="BB22" s="5" t="n">
        <v>0.000248</v>
      </c>
      <c r="BC22" s="5" t="n">
        <v>0.00012</v>
      </c>
      <c r="BD22" s="5" t="n">
        <v>0.00896</v>
      </c>
      <c r="BE22" s="5" t="n">
        <v>0.00233</v>
      </c>
      <c r="BF22" s="5" t="n">
        <v>0.0011606</v>
      </c>
      <c r="BG22" s="5" t="n">
        <f aca="false">BF22/(1-0.2)</f>
        <v>0.00145075</v>
      </c>
      <c r="BH22" s="5" t="n">
        <f aca="false">BF22/(1-0.25)</f>
        <v>0.00154746666666667</v>
      </c>
      <c r="BI22" s="5" t="n">
        <v>0.0006045</v>
      </c>
      <c r="BJ22" s="5" t="n">
        <v>0.001301</v>
      </c>
      <c r="BK22" s="5" t="n">
        <v>0.00026</v>
      </c>
      <c r="BL22" s="5" t="n">
        <v>0.00153563</v>
      </c>
      <c r="BM22" s="5" t="n">
        <v>0.0014434922</v>
      </c>
    </row>
    <row r="23" customFormat="false" ht="15.75" hidden="false" customHeight="true" outlineLevel="0" collapsed="false">
      <c r="A23" s="2" t="n">
        <v>21</v>
      </c>
      <c r="B23" s="2" t="n">
        <v>0.00225419</v>
      </c>
      <c r="C23" s="4" t="n">
        <v>0.002294150958</v>
      </c>
      <c r="D23" s="4" t="n">
        <v>0.00229415</v>
      </c>
      <c r="E23" s="4" t="n">
        <v>0.002667</v>
      </c>
      <c r="F23" s="4" t="n">
        <v>0.00266742</v>
      </c>
      <c r="G23" s="4" t="n">
        <v>0.0024673635</v>
      </c>
      <c r="H23" s="4" t="n">
        <v>0.00214819635319826</v>
      </c>
      <c r="I23" s="4" t="n">
        <v>0.00219714</v>
      </c>
      <c r="J23" s="4" t="n">
        <v>0.0021751686</v>
      </c>
      <c r="K23" s="4" t="n">
        <v>0.00219713698491727</v>
      </c>
      <c r="L23" s="5" t="n">
        <v>0.00138022747810915</v>
      </c>
      <c r="M23" s="5" t="n">
        <f aca="false">L23/(1-0.19)</f>
        <v>0.00170398454087549</v>
      </c>
      <c r="N23" s="5" t="n">
        <f aca="false">L23/(1-0.183)</f>
        <v>0.00168938491812625</v>
      </c>
      <c r="O23" s="5" t="n">
        <v>0.00224607379325321</v>
      </c>
      <c r="P23" s="5" t="n">
        <v>0.00140996744322992</v>
      </c>
      <c r="Q23" s="5" t="n">
        <v>0.00229285430347097</v>
      </c>
      <c r="R23" s="5" t="n">
        <v>0.0022355329458842</v>
      </c>
      <c r="S23" s="4" t="n">
        <v>0.000519</v>
      </c>
      <c r="T23" s="4" t="n">
        <v>0.000573</v>
      </c>
      <c r="U23" s="4" t="n">
        <f aca="false">T23/(1-0.33)</f>
        <v>0.000855223880597015</v>
      </c>
      <c r="V23" s="4" t="n">
        <v>0.000648</v>
      </c>
      <c r="W23" s="4" t="n">
        <v>0.000648</v>
      </c>
      <c r="X23" s="4" t="n">
        <v>0.000574</v>
      </c>
      <c r="Y23" s="4" t="n">
        <v>0.0005453</v>
      </c>
      <c r="Z23" s="4" t="n">
        <v>0.000435</v>
      </c>
      <c r="AA23" s="4" t="n">
        <v>0.000424125</v>
      </c>
      <c r="AB23" s="4" t="n">
        <v>0.000525</v>
      </c>
      <c r="AC23" s="4" t="n">
        <v>0.0009569951</v>
      </c>
      <c r="AD23" s="4" t="n">
        <f aca="false">AC23/(1-0.1)</f>
        <v>0.00106332788888889</v>
      </c>
      <c r="AE23" s="4" t="n">
        <f aca="false">AC23/(1-0.15)</f>
        <v>0.00112587658823529</v>
      </c>
      <c r="AF23" s="4" t="n">
        <f aca="false">AC23/(1-0.2)</f>
        <v>0.001196243875</v>
      </c>
      <c r="AG23" s="4" t="n">
        <f aca="false">AC23/(1-0.24)</f>
        <v>0.00125920407894737</v>
      </c>
      <c r="AH23" s="4" t="n">
        <v>0.00214</v>
      </c>
      <c r="AI23" s="4" t="n">
        <v>0.000522</v>
      </c>
      <c r="AJ23" s="4" t="n">
        <v>0.00191</v>
      </c>
      <c r="AK23" s="4" t="n">
        <v>0.001285</v>
      </c>
      <c r="AL23" s="4" t="n">
        <v>0.001509</v>
      </c>
      <c r="AM23" s="4" t="n">
        <v>0.001295</v>
      </c>
      <c r="AN23" s="4" t="n">
        <v>0.000636</v>
      </c>
      <c r="AO23" s="4" t="n">
        <v>0.00053424</v>
      </c>
      <c r="AP23" s="4" t="n">
        <v>0.00052788</v>
      </c>
      <c r="AQ23" s="4" t="n">
        <v>0.00052152</v>
      </c>
      <c r="AR23" s="4" t="n">
        <v>0.00051516</v>
      </c>
      <c r="AS23" s="4" t="n">
        <v>0.00051198</v>
      </c>
      <c r="AT23" s="4" t="n">
        <v>0.0005088</v>
      </c>
      <c r="AU23" s="4" t="n">
        <v>0.00786</v>
      </c>
      <c r="AV23" s="4" t="n">
        <v>0.000357</v>
      </c>
      <c r="AW23" s="4" t="n">
        <v>0.001693</v>
      </c>
      <c r="AX23" s="4" t="n">
        <v>0.00692</v>
      </c>
      <c r="AY23" s="4" t="n">
        <v>0.00057</v>
      </c>
      <c r="AZ23" s="5" t="n">
        <v>0.00122</v>
      </c>
      <c r="BA23" s="5" t="n">
        <v>0.000492</v>
      </c>
      <c r="BB23" s="5" t="n">
        <v>0.000256</v>
      </c>
      <c r="BC23" s="5" t="n">
        <v>0.000125</v>
      </c>
      <c r="BD23" s="5" t="n">
        <v>0.00901</v>
      </c>
      <c r="BE23" s="5" t="n">
        <v>0.00234</v>
      </c>
      <c r="BF23" s="5" t="n">
        <v>0.0011614</v>
      </c>
      <c r="BG23" s="5" t="n">
        <f aca="false">BF23/(1-0.2)</f>
        <v>0.00145175</v>
      </c>
      <c r="BH23" s="5" t="n">
        <f aca="false">BF23/(1-0.25)</f>
        <v>0.00154853333333333</v>
      </c>
      <c r="BI23" s="5" t="n">
        <v>0.0007069</v>
      </c>
      <c r="BJ23" s="5" t="n">
        <v>0.001404</v>
      </c>
      <c r="BK23" s="5" t="n">
        <v>0.000273</v>
      </c>
      <c r="BL23" s="5" t="n">
        <v>0.00154342</v>
      </c>
      <c r="BM23" s="5" t="n">
        <v>0.0014508148</v>
      </c>
    </row>
    <row r="24" customFormat="false" ht="15.75" hidden="false" customHeight="true" outlineLevel="0" collapsed="false">
      <c r="A24" s="2" t="n">
        <v>22</v>
      </c>
      <c r="B24" s="2" t="n">
        <v>0.00229395</v>
      </c>
      <c r="C24" s="4" t="n">
        <v>0.00233452221</v>
      </c>
      <c r="D24" s="4" t="n">
        <v>0.00233452</v>
      </c>
      <c r="E24" s="4" t="n">
        <v>0.002693</v>
      </c>
      <c r="F24" s="4" t="n">
        <v>0.00269288</v>
      </c>
      <c r="G24" s="4" t="n">
        <v>0.002490914</v>
      </c>
      <c r="H24" s="4" t="n">
        <v>0.00224848573698631</v>
      </c>
      <c r="I24" s="4" t="n">
        <v>0.00230041</v>
      </c>
      <c r="J24" s="4" t="n">
        <v>0.0022774059</v>
      </c>
      <c r="K24" s="4" t="n">
        <v>0.0023004128395271</v>
      </c>
      <c r="L24" s="5" t="n">
        <v>0.00144034690851399</v>
      </c>
      <c r="M24" s="5" t="n">
        <f aca="false">L24/(1-0.19)</f>
        <v>0.00177820605989381</v>
      </c>
      <c r="N24" s="5" t="n">
        <f aca="false">L24/(1-0.183)</f>
        <v>0.00176297051225703</v>
      </c>
      <c r="O24" s="5" t="n">
        <v>0.00235233713228415</v>
      </c>
      <c r="P24" s="5" t="n">
        <v>0.00147119572389249</v>
      </c>
      <c r="Q24" s="5" t="n">
        <v>0.00240237878515805</v>
      </c>
      <c r="R24" s="5" t="n">
        <v>0.00234231931552909</v>
      </c>
      <c r="S24" s="4" t="n">
        <v>0.000542</v>
      </c>
      <c r="T24" s="4" t="n">
        <v>0.000599</v>
      </c>
      <c r="U24" s="4" t="n">
        <f aca="false">T24/(1-0.33)</f>
        <v>0.000894029850746269</v>
      </c>
      <c r="V24" s="4" t="n">
        <v>0.000674</v>
      </c>
      <c r="W24" s="4" t="n">
        <v>0.000674</v>
      </c>
      <c r="X24" s="4" t="n">
        <v>0.000597</v>
      </c>
      <c r="Y24" s="4" t="n">
        <v>0.00056715</v>
      </c>
      <c r="Z24" s="4" t="n">
        <v>0.000453</v>
      </c>
      <c r="AA24" s="4" t="n">
        <v>0.000441675</v>
      </c>
      <c r="AB24" s="4" t="n">
        <v>0.000546</v>
      </c>
      <c r="AC24" s="4" t="n">
        <v>0.0009976223</v>
      </c>
      <c r="AD24" s="4" t="n">
        <f aca="false">AC24/(1-0.1)</f>
        <v>0.00110846922222222</v>
      </c>
      <c r="AE24" s="4" t="n">
        <f aca="false">AC24/(1-0.15)</f>
        <v>0.00117367329411765</v>
      </c>
      <c r="AF24" s="4" t="n">
        <f aca="false">AC24/(1-0.2)</f>
        <v>0.001247027875</v>
      </c>
      <c r="AG24" s="4" t="n">
        <f aca="false">AC24/(1-0.24)</f>
        <v>0.00131266092105263</v>
      </c>
      <c r="AH24" s="4" t="n">
        <v>0.00218</v>
      </c>
      <c r="AI24" s="4" t="n">
        <v>0.000544</v>
      </c>
      <c r="AJ24" s="4" t="n">
        <v>0.00189</v>
      </c>
      <c r="AK24" s="4" t="n">
        <v>0.0013</v>
      </c>
      <c r="AL24" s="4" t="n">
        <v>0.001464</v>
      </c>
      <c r="AM24" s="4" t="n">
        <v>0.001296</v>
      </c>
      <c r="AN24" s="4" t="n">
        <v>0.000661</v>
      </c>
      <c r="AO24" s="4" t="n">
        <v>0.00055524</v>
      </c>
      <c r="AP24" s="4" t="n">
        <v>0.00054863</v>
      </c>
      <c r="AQ24" s="4" t="n">
        <v>0.00054202</v>
      </c>
      <c r="AR24" s="4" t="n">
        <v>0.00053541</v>
      </c>
      <c r="AS24" s="4" t="n">
        <v>0.000532105</v>
      </c>
      <c r="AT24" s="4" t="n">
        <v>0.0005288</v>
      </c>
      <c r="AU24" s="4" t="n">
        <v>0.00791</v>
      </c>
      <c r="AV24" s="4" t="n">
        <v>0.000366</v>
      </c>
      <c r="AW24" s="4" t="n">
        <v>0.001758</v>
      </c>
      <c r="AX24" s="4" t="n">
        <v>0.00681</v>
      </c>
      <c r="AY24" s="4" t="n">
        <v>0.000598</v>
      </c>
      <c r="AZ24" s="5" t="n">
        <v>0.00127</v>
      </c>
      <c r="BA24" s="5" t="n">
        <v>0.000526</v>
      </c>
      <c r="BB24" s="5" t="n">
        <v>0.000264</v>
      </c>
      <c r="BC24" s="5" t="n">
        <v>0.000129</v>
      </c>
      <c r="BD24" s="5" t="n">
        <v>0.00907</v>
      </c>
      <c r="BE24" s="5" t="n">
        <v>0.00236</v>
      </c>
      <c r="BF24" s="5" t="n">
        <v>0.0011614</v>
      </c>
      <c r="BG24" s="5" t="n">
        <f aca="false">BF24/(1-0.2)</f>
        <v>0.00145175</v>
      </c>
      <c r="BH24" s="5" t="n">
        <f aca="false">BF24/(1-0.25)</f>
        <v>0.00154853333333333</v>
      </c>
      <c r="BI24" s="5" t="n">
        <v>0.0007623</v>
      </c>
      <c r="BJ24" s="5" t="n">
        <v>0.001498</v>
      </c>
      <c r="BK24" s="5" t="n">
        <v>0.000288</v>
      </c>
      <c r="BL24" s="5" t="n">
        <v>0.00155231</v>
      </c>
      <c r="BM24" s="5" t="n">
        <v>0.0014591714</v>
      </c>
    </row>
    <row r="25" customFormat="false" ht="15.75" hidden="false" customHeight="true" outlineLevel="0" collapsed="false">
      <c r="A25" s="2" t="n">
        <v>23</v>
      </c>
      <c r="B25" s="2" t="n">
        <v>0.00232105</v>
      </c>
      <c r="C25" s="4" t="n">
        <v>0.00236186311</v>
      </c>
      <c r="D25" s="4" t="n">
        <v>0.00236186</v>
      </c>
      <c r="E25" s="4" t="n">
        <v>0.002691</v>
      </c>
      <c r="F25" s="4" t="n">
        <v>0.00269115</v>
      </c>
      <c r="G25" s="4" t="n">
        <v>0.00248931375</v>
      </c>
      <c r="H25" s="4" t="n">
        <v>0.00228164954651518</v>
      </c>
      <c r="I25" s="4" t="n">
        <v>0.00233428</v>
      </c>
      <c r="J25" s="4" t="n">
        <v>0.0023109372</v>
      </c>
      <c r="K25" s="4" t="n">
        <v>0.00233427898137997</v>
      </c>
      <c r="L25" s="5" t="n">
        <v>0.00146590096306105</v>
      </c>
      <c r="M25" s="5" t="n">
        <f aca="false">L25/(1-0.19)</f>
        <v>0.00180975427538401</v>
      </c>
      <c r="N25" s="5" t="n">
        <f aca="false">L25/(1-0.183)</f>
        <v>0.00179424842479932</v>
      </c>
      <c r="O25" s="5" t="n">
        <v>0.0023869070650462</v>
      </c>
      <c r="P25" s="5" t="n">
        <v>0.00149686919909256</v>
      </c>
      <c r="Q25" s="5" t="n">
        <v>0.00244010192688758</v>
      </c>
      <c r="R25" s="5" t="n">
        <v>0.00237909937871539</v>
      </c>
      <c r="S25" s="4" t="n">
        <v>0.000566</v>
      </c>
      <c r="T25" s="4" t="n">
        <v>0.000627</v>
      </c>
      <c r="U25" s="4" t="n">
        <f aca="false">T25/(1-0.33)</f>
        <v>0.000935820895522388</v>
      </c>
      <c r="V25" s="4" t="n">
        <v>0.000702</v>
      </c>
      <c r="W25" s="4" t="n">
        <v>0.000702</v>
      </c>
      <c r="X25" s="4" t="n">
        <v>0.000622</v>
      </c>
      <c r="Y25" s="4" t="n">
        <v>0.0005909</v>
      </c>
      <c r="Z25" s="4" t="n">
        <v>0.000471</v>
      </c>
      <c r="AA25" s="4" t="n">
        <v>0.000459225</v>
      </c>
      <c r="AB25" s="4" t="n">
        <v>0.00057</v>
      </c>
      <c r="AC25" s="4" t="n">
        <v>0.0010248766</v>
      </c>
      <c r="AD25" s="4" t="n">
        <f aca="false">AC25/(1-0.1)</f>
        <v>0.00113875177777778</v>
      </c>
      <c r="AE25" s="4" t="n">
        <f aca="false">AC25/(1-0.15)</f>
        <v>0.00120573717647059</v>
      </c>
      <c r="AF25" s="4" t="n">
        <f aca="false">AC25/(1-0.2)</f>
        <v>0.00128109575</v>
      </c>
      <c r="AG25" s="4" t="n">
        <f aca="false">AC25/(1-0.24)</f>
        <v>0.00134852184210526</v>
      </c>
      <c r="AH25" s="4" t="n">
        <v>0.00221</v>
      </c>
      <c r="AI25" s="4" t="n">
        <v>0.000566</v>
      </c>
      <c r="AJ25" s="4" t="n">
        <v>0.00186</v>
      </c>
      <c r="AK25" s="4" t="n">
        <v>0.001315</v>
      </c>
      <c r="AL25" s="4" t="n">
        <v>0.001424</v>
      </c>
      <c r="AM25" s="4" t="n">
        <v>0.001297</v>
      </c>
      <c r="AN25" s="4" t="n">
        <v>0.000688</v>
      </c>
      <c r="AO25" s="4" t="n">
        <v>0.00057792</v>
      </c>
      <c r="AP25" s="4" t="n">
        <v>0.00057104</v>
      </c>
      <c r="AQ25" s="4" t="n">
        <v>0.00056416</v>
      </c>
      <c r="AR25" s="4" t="n">
        <v>0.00055728</v>
      </c>
      <c r="AS25" s="4" t="n">
        <v>0.00055384</v>
      </c>
      <c r="AT25" s="4" t="n">
        <v>0.0005504</v>
      </c>
      <c r="AU25" s="4" t="n">
        <v>0.00796</v>
      </c>
      <c r="AV25" s="4" t="n">
        <v>0.000373</v>
      </c>
      <c r="AW25" s="4" t="n">
        <v>0.001831</v>
      </c>
      <c r="AX25" s="4" t="n">
        <v>0.00662</v>
      </c>
      <c r="AY25" s="4" t="n">
        <v>0.000633</v>
      </c>
      <c r="AZ25" s="5" t="n">
        <v>0.00128</v>
      </c>
      <c r="BA25" s="5" t="n">
        <v>0.000569</v>
      </c>
      <c r="BB25" s="5" t="n">
        <v>0.000273</v>
      </c>
      <c r="BC25" s="5" t="n">
        <v>0.000134</v>
      </c>
      <c r="BD25" s="5" t="n">
        <v>0.00915</v>
      </c>
      <c r="BE25" s="5" t="n">
        <v>0.00238</v>
      </c>
      <c r="BF25" s="5" t="n">
        <v>0.0011071</v>
      </c>
      <c r="BG25" s="5" t="n">
        <f aca="false">BF25/(1-0.2)</f>
        <v>0.001383875</v>
      </c>
      <c r="BH25" s="5" t="n">
        <f aca="false">BF25/(1-0.25)</f>
        <v>0.00147613333333333</v>
      </c>
      <c r="BI25" s="5" t="n">
        <v>0.0007817</v>
      </c>
      <c r="BJ25" s="5" t="n">
        <v>0.001586</v>
      </c>
      <c r="BK25" s="5" t="n">
        <v>0.000305</v>
      </c>
      <c r="BL25" s="5" t="n">
        <v>0.00156247</v>
      </c>
      <c r="BM25" s="5" t="n">
        <v>0.0014687218</v>
      </c>
    </row>
    <row r="26" customFormat="false" ht="15.75" hidden="false" customHeight="true" outlineLevel="0" collapsed="false">
      <c r="A26" s="2" t="n">
        <v>24</v>
      </c>
      <c r="B26" s="2" t="n">
        <v>0.00235264</v>
      </c>
      <c r="C26" s="4" t="n">
        <v>0.002393668122</v>
      </c>
      <c r="D26" s="4" t="n">
        <v>0.00239367</v>
      </c>
      <c r="E26" s="4" t="n">
        <v>0.002688</v>
      </c>
      <c r="F26" s="4" t="n">
        <v>0.00268815</v>
      </c>
      <c r="G26" s="4" t="n">
        <v>0.00248653875</v>
      </c>
      <c r="H26" s="4" t="n">
        <v>0.00226492021675485</v>
      </c>
      <c r="I26" s="4" t="n">
        <v>0.0023166</v>
      </c>
      <c r="J26" s="4" t="n">
        <v>0.002293434</v>
      </c>
      <c r="K26" s="4" t="n">
        <v>0.0023166013909861</v>
      </c>
      <c r="L26" s="5" t="n">
        <v>0.00146630108520885</v>
      </c>
      <c r="M26" s="5" t="n">
        <f aca="false">L26/(1-0.19)</f>
        <v>0.00181024825334426</v>
      </c>
      <c r="N26" s="5" t="n">
        <f aca="false">L26/(1-0.183)</f>
        <v>0.00179473817039027</v>
      </c>
      <c r="O26" s="5" t="n">
        <v>0.00236828223556178</v>
      </c>
      <c r="P26" s="5" t="n">
        <v>0.00149671721853245</v>
      </c>
      <c r="Q26" s="5" t="n">
        <v>0.00242435477009496</v>
      </c>
      <c r="R26" s="5" t="n">
        <v>0.00236374590084258</v>
      </c>
      <c r="S26" s="4" t="n">
        <v>0.000592</v>
      </c>
      <c r="T26" s="4" t="n">
        <v>0.000657</v>
      </c>
      <c r="U26" s="4" t="n">
        <f aca="false">T26/(1-0.33)</f>
        <v>0.000980597014925373</v>
      </c>
      <c r="V26" s="4" t="n">
        <v>0.000733</v>
      </c>
      <c r="W26" s="4" t="n">
        <v>0.000733</v>
      </c>
      <c r="X26" s="4" t="n">
        <v>0.000649</v>
      </c>
      <c r="Y26" s="4" t="n">
        <v>0.00061655</v>
      </c>
      <c r="Z26" s="4" t="n">
        <v>0.000493</v>
      </c>
      <c r="AA26" s="4" t="n">
        <v>0.000480675</v>
      </c>
      <c r="AB26" s="4" t="n">
        <v>0.000596</v>
      </c>
      <c r="AC26" s="4" t="n">
        <v>0.0010403836</v>
      </c>
      <c r="AD26" s="4" t="n">
        <f aca="false">AC26/(1-0.1)</f>
        <v>0.00115598177777778</v>
      </c>
      <c r="AE26" s="4" t="n">
        <f aca="false">AC26/(1-0.15)</f>
        <v>0.00122398070588235</v>
      </c>
      <c r="AF26" s="4" t="n">
        <f aca="false">AC26/(1-0.2)</f>
        <v>0.0013004795</v>
      </c>
      <c r="AG26" s="4" t="n">
        <f aca="false">AC26/(1-0.24)</f>
        <v>0.00136892578947368</v>
      </c>
      <c r="AH26" s="4" t="n">
        <v>0.00224</v>
      </c>
      <c r="AI26" s="4" t="n">
        <v>0.000591</v>
      </c>
      <c r="AJ26" s="4" t="n">
        <v>0.00182</v>
      </c>
      <c r="AK26" s="4" t="n">
        <v>0.00133</v>
      </c>
      <c r="AL26" s="4" t="n">
        <v>0.001388</v>
      </c>
      <c r="AM26" s="4" t="n">
        <v>0.001298</v>
      </c>
      <c r="AN26" s="4" t="n">
        <v>0.000718</v>
      </c>
      <c r="AO26" s="4" t="n">
        <v>0.00060312</v>
      </c>
      <c r="AP26" s="4" t="n">
        <v>0.00059594</v>
      </c>
      <c r="AQ26" s="4" t="n">
        <v>0.00058876</v>
      </c>
      <c r="AR26" s="4" t="n">
        <v>0.00058158</v>
      </c>
      <c r="AS26" s="4" t="n">
        <v>0.00057799</v>
      </c>
      <c r="AT26" s="4" t="n">
        <v>0.0005744</v>
      </c>
      <c r="AU26" s="4" t="n">
        <v>0.00801</v>
      </c>
      <c r="AV26" s="4" t="n">
        <v>0.000376</v>
      </c>
      <c r="AW26" s="4" t="n">
        <v>0.001911</v>
      </c>
      <c r="AX26" s="4" t="n">
        <v>0.00641</v>
      </c>
      <c r="AY26" s="4" t="n">
        <v>0.000671</v>
      </c>
      <c r="AZ26" s="5" t="n">
        <v>0.00127</v>
      </c>
      <c r="BA26" s="5" t="n">
        <v>0.000616</v>
      </c>
      <c r="BB26" s="5" t="n">
        <v>0.000284</v>
      </c>
      <c r="BC26" s="5" t="n">
        <v>0.000139</v>
      </c>
      <c r="BD26" s="5" t="n">
        <v>0.00921</v>
      </c>
      <c r="BE26" s="5" t="n">
        <v>0.00241</v>
      </c>
      <c r="BF26" s="5" t="n">
        <v>0.001076</v>
      </c>
      <c r="BG26" s="5" t="n">
        <f aca="false">BF26/(1-0.2)</f>
        <v>0.001345</v>
      </c>
      <c r="BH26" s="5" t="n">
        <f aca="false">BF26/(1-0.25)</f>
        <v>0.00143466666666667</v>
      </c>
      <c r="BI26" s="5" t="n">
        <v>0.0007731</v>
      </c>
      <c r="BJ26" s="5" t="n">
        <v>0.001679</v>
      </c>
      <c r="BK26" s="5" t="n">
        <v>0.000324</v>
      </c>
      <c r="BL26" s="5" t="n">
        <v>0.00157408</v>
      </c>
      <c r="BM26" s="5" t="n">
        <v>0.0014796352</v>
      </c>
    </row>
    <row r="27" customFormat="false" ht="15.75" hidden="false" customHeight="true" outlineLevel="0" collapsed="false">
      <c r="A27" s="2" t="n">
        <v>25</v>
      </c>
      <c r="B27" s="2" t="n">
        <v>0.00239584</v>
      </c>
      <c r="C27" s="4" t="n">
        <v>0.002437228759</v>
      </c>
      <c r="D27" s="4" t="n">
        <v>0.00243723</v>
      </c>
      <c r="E27" s="4" t="n">
        <v>0.002699</v>
      </c>
      <c r="F27" s="4" t="n">
        <v>0.00269859</v>
      </c>
      <c r="G27" s="4" t="n">
        <v>0.00249619575</v>
      </c>
      <c r="H27" s="4" t="n">
        <v>0.0022254856555354</v>
      </c>
      <c r="I27" s="4" t="n">
        <v>0.00227547</v>
      </c>
      <c r="J27" s="4" t="n">
        <v>0.0022527153</v>
      </c>
      <c r="K27" s="4" t="n">
        <v>0.00227546512864853</v>
      </c>
      <c r="L27" s="5" t="n">
        <v>0.00145508096357233</v>
      </c>
      <c r="M27" s="5" t="n">
        <f aca="false">L27/(1-0.19)</f>
        <v>0.00179639625132386</v>
      </c>
      <c r="N27" s="5" t="n">
        <f aca="false">L27/(1-0.183)</f>
        <v>0.00178100485137372</v>
      </c>
      <c r="O27" s="5" t="n">
        <v>0.00232531428752774</v>
      </c>
      <c r="P27" s="5" t="n">
        <v>0.00148450318945061</v>
      </c>
      <c r="Q27" s="5" t="n">
        <v>0.00238445490864122</v>
      </c>
      <c r="R27" s="5" t="n">
        <v>0.00232484353592519</v>
      </c>
      <c r="S27" s="4" t="n">
        <v>0.000616</v>
      </c>
      <c r="T27" s="4" t="n">
        <v>0.000686</v>
      </c>
      <c r="U27" s="4" t="n">
        <f aca="false">T27/(1-0.33)</f>
        <v>0.00102388059701493</v>
      </c>
      <c r="V27" s="4" t="n">
        <v>0.000768</v>
      </c>
      <c r="W27" s="4" t="n">
        <v>0.000768</v>
      </c>
      <c r="X27" s="4" t="n">
        <v>0.000679</v>
      </c>
      <c r="Y27" s="4" t="n">
        <v>0.00064505</v>
      </c>
      <c r="Z27" s="4" t="n">
        <v>0.000515</v>
      </c>
      <c r="AA27" s="4" t="n">
        <v>0.000502125</v>
      </c>
      <c r="AB27" s="4" t="n">
        <v>0.000622</v>
      </c>
      <c r="AC27" s="4" t="n">
        <v>0.0010472052</v>
      </c>
      <c r="AD27" s="4" t="n">
        <f aca="false">AC27/(1-0.1)</f>
        <v>0.00116356133333333</v>
      </c>
      <c r="AE27" s="4" t="n">
        <f aca="false">AC27/(1-0.15)</f>
        <v>0.00123200611764706</v>
      </c>
      <c r="AF27" s="4" t="n">
        <f aca="false">AC27/(1-0.2)</f>
        <v>0.0013090065</v>
      </c>
      <c r="AG27" s="4" t="n">
        <f aca="false">AC27/(1-0.24)</f>
        <v>0.00137790157894737</v>
      </c>
      <c r="AH27" s="4" t="n">
        <v>0.00226</v>
      </c>
      <c r="AI27" s="4" t="n">
        <v>0.000619</v>
      </c>
      <c r="AJ27" s="4" t="n">
        <v>0.00177</v>
      </c>
      <c r="AK27" s="4" t="n">
        <v>0.001345</v>
      </c>
      <c r="AL27" s="4" t="n">
        <v>0.001357</v>
      </c>
      <c r="AM27" s="4" t="n">
        <v>0.001299</v>
      </c>
      <c r="AN27" s="4" t="n">
        <v>0.000751</v>
      </c>
      <c r="AO27" s="4" t="n">
        <v>0.00063084</v>
      </c>
      <c r="AP27" s="4" t="n">
        <v>0.00062333</v>
      </c>
      <c r="AQ27" s="4" t="n">
        <v>0.00061582</v>
      </c>
      <c r="AR27" s="4" t="n">
        <v>0.00060831</v>
      </c>
      <c r="AS27" s="4" t="n">
        <v>0.000604555</v>
      </c>
      <c r="AT27" s="4" t="n">
        <v>0.0006008</v>
      </c>
      <c r="AU27" s="4" t="n">
        <v>0.00806</v>
      </c>
      <c r="AV27" s="4" t="n">
        <v>0.000376</v>
      </c>
      <c r="AW27" s="4" t="n">
        <v>0.001999</v>
      </c>
      <c r="AX27" s="4" t="n">
        <v>0.00624</v>
      </c>
      <c r="AY27" s="4" t="n">
        <v>0.000711</v>
      </c>
      <c r="AZ27" s="5" t="n">
        <v>0.00126</v>
      </c>
      <c r="BA27" s="5" t="n">
        <v>0.000669</v>
      </c>
      <c r="BB27" s="5" t="n">
        <v>0.000297</v>
      </c>
      <c r="BC27" s="5" t="n">
        <v>0.000144</v>
      </c>
      <c r="BD27" s="5" t="n">
        <v>0.00929</v>
      </c>
      <c r="BE27" s="5" t="n">
        <v>0.00244</v>
      </c>
      <c r="BF27" s="5" t="n">
        <v>0.0010557</v>
      </c>
      <c r="BG27" s="5" t="n">
        <f aca="false">BF27/(1-0.2)</f>
        <v>0.001319625</v>
      </c>
      <c r="BH27" s="5" t="n">
        <f aca="false">BF27/(1-0.25)</f>
        <v>0.0014076</v>
      </c>
      <c r="BI27" s="5" t="n">
        <v>0.0007544</v>
      </c>
      <c r="BJ27" s="5" t="n">
        <v>0.001776</v>
      </c>
      <c r="BK27" s="5" t="n">
        <v>0.000344</v>
      </c>
      <c r="BL27" s="5" t="n">
        <v>0.00158735</v>
      </c>
      <c r="BM27" s="5" t="n">
        <v>0.001492109</v>
      </c>
    </row>
    <row r="28" customFormat="false" ht="15.75" hidden="false" customHeight="true" outlineLevel="0" collapsed="false">
      <c r="A28" s="2" t="n">
        <v>26</v>
      </c>
      <c r="B28" s="2" t="n">
        <v>0.00244086</v>
      </c>
      <c r="C28" s="4" t="n">
        <v>0.002482670306</v>
      </c>
      <c r="D28" s="4" t="n">
        <v>0.00248267</v>
      </c>
      <c r="E28" s="4" t="n">
        <v>0.002719</v>
      </c>
      <c r="F28" s="4" t="n">
        <v>0.00271885</v>
      </c>
      <c r="G28" s="4" t="n">
        <v>0.00251493625</v>
      </c>
      <c r="H28" s="4" t="n">
        <v>0.00219172275934755</v>
      </c>
      <c r="I28" s="4" t="n">
        <v>0.00224044</v>
      </c>
      <c r="J28" s="4" t="n">
        <v>0.0022180356</v>
      </c>
      <c r="K28" s="4" t="n">
        <v>0.00224044029148163</v>
      </c>
      <c r="L28" s="5" t="n">
        <v>0.00144803786937418</v>
      </c>
      <c r="M28" s="5" t="n">
        <f aca="false">L28/(1-0.19)</f>
        <v>0.00178770107330146</v>
      </c>
      <c r="N28" s="5" t="n">
        <f aca="false">L28/(1-0.183)</f>
        <v>0.00177238417304061</v>
      </c>
      <c r="O28" s="5" t="n">
        <v>0.00228886671984236</v>
      </c>
      <c r="P28" s="5" t="n">
        <v>0.00147670820297333</v>
      </c>
      <c r="Q28" s="5" t="n">
        <v>0.00235048212241036</v>
      </c>
      <c r="R28" s="5" t="n">
        <v>0.0022917200693501</v>
      </c>
      <c r="S28" s="4" t="n">
        <v>0.000639</v>
      </c>
      <c r="T28" s="4" t="n">
        <v>0.000714</v>
      </c>
      <c r="U28" s="4" t="n">
        <f aca="false">T28/(1-0.33)</f>
        <v>0.00106567164179104</v>
      </c>
      <c r="V28" s="4" t="n">
        <v>0.000806</v>
      </c>
      <c r="W28" s="4" t="n">
        <v>0.000806</v>
      </c>
      <c r="X28" s="4" t="n">
        <v>0.000712</v>
      </c>
      <c r="Y28" s="4" t="n">
        <v>0.0006764</v>
      </c>
      <c r="Z28" s="4" t="n">
        <v>0.000542</v>
      </c>
      <c r="AA28" s="4" t="n">
        <v>0.00052845</v>
      </c>
      <c r="AB28" s="4" t="n">
        <v>0.00065</v>
      </c>
      <c r="AC28" s="4" t="n">
        <v>0.0010481314</v>
      </c>
      <c r="AD28" s="4" t="n">
        <f aca="false">AC28/(1-0.1)</f>
        <v>0.00116459044444444</v>
      </c>
      <c r="AE28" s="4" t="n">
        <f aca="false">AC28/(1-0.15)</f>
        <v>0.00123309576470588</v>
      </c>
      <c r="AF28" s="4" t="n">
        <f aca="false">AC28/(1-0.2)</f>
        <v>0.00131016425</v>
      </c>
      <c r="AG28" s="4" t="n">
        <f aca="false">AC28/(1-0.24)</f>
        <v>0.00137912026315789</v>
      </c>
      <c r="AH28" s="4" t="n">
        <v>0.00228</v>
      </c>
      <c r="AI28" s="4" t="n">
        <v>0.00065</v>
      </c>
      <c r="AJ28" s="4" t="n">
        <v>0.00173</v>
      </c>
      <c r="AK28" s="4" t="n">
        <v>0.00136</v>
      </c>
      <c r="AL28" s="4" t="n">
        <v>0.001333</v>
      </c>
      <c r="AM28" s="4" t="n">
        <v>0.0013</v>
      </c>
      <c r="AN28" s="4" t="n">
        <v>0.000787</v>
      </c>
      <c r="AO28" s="4" t="n">
        <v>0.00066108</v>
      </c>
      <c r="AP28" s="4" t="n">
        <v>0.00065321</v>
      </c>
      <c r="AQ28" s="4" t="n">
        <v>0.00064534</v>
      </c>
      <c r="AR28" s="4" t="n">
        <v>0.00063747</v>
      </c>
      <c r="AS28" s="4" t="n">
        <v>0.000633535</v>
      </c>
      <c r="AT28" s="4" t="n">
        <v>0.0006296</v>
      </c>
      <c r="AU28" s="4" t="n">
        <v>0.00813</v>
      </c>
      <c r="AV28" s="4" t="n">
        <v>0.000378</v>
      </c>
      <c r="AW28" s="4" t="n">
        <v>0.002096</v>
      </c>
      <c r="AX28" s="4" t="n">
        <v>0.0063</v>
      </c>
      <c r="AY28" s="4" t="n">
        <v>0.000749</v>
      </c>
      <c r="AZ28" s="5" t="n">
        <v>0.00125</v>
      </c>
      <c r="BA28" s="5" t="n">
        <v>0.000728</v>
      </c>
      <c r="BB28" s="5" t="n">
        <v>0.000314</v>
      </c>
      <c r="BC28" s="5" t="n">
        <v>0.000149</v>
      </c>
      <c r="BD28" s="5" t="n">
        <v>0.00939</v>
      </c>
      <c r="BE28" s="5" t="n">
        <v>0.00249</v>
      </c>
      <c r="BF28" s="5" t="n">
        <v>0.0010491</v>
      </c>
      <c r="BG28" s="5" t="n">
        <f aca="false">BF28/(1-0.2)</f>
        <v>0.001311375</v>
      </c>
      <c r="BH28" s="5" t="n">
        <f aca="false">BF28/(1-0.25)</f>
        <v>0.0013988</v>
      </c>
      <c r="BI28" s="5" t="n">
        <v>0.0007373</v>
      </c>
      <c r="BJ28" s="5" t="n">
        <v>0.001881</v>
      </c>
      <c r="BK28" s="5" t="n">
        <v>0.000367</v>
      </c>
      <c r="BL28" s="5" t="n">
        <v>0.0016025</v>
      </c>
      <c r="BM28" s="5" t="n">
        <v>0.00150635</v>
      </c>
    </row>
    <row r="29" customFormat="false" ht="15.75" hidden="false" customHeight="true" outlineLevel="0" collapsed="false">
      <c r="A29" s="2" t="n">
        <v>27</v>
      </c>
      <c r="B29" s="2" t="n">
        <v>0.00247456</v>
      </c>
      <c r="C29" s="4" t="n">
        <v>0.002516690118</v>
      </c>
      <c r="D29" s="4" t="n">
        <v>0.00251669</v>
      </c>
      <c r="E29" s="4" t="n">
        <v>0.002741</v>
      </c>
      <c r="F29" s="4" t="n">
        <v>0.00274135</v>
      </c>
      <c r="G29" s="4" t="n">
        <v>0.00253574875</v>
      </c>
      <c r="H29" s="4" t="n">
        <v>0.00217275185701787</v>
      </c>
      <c r="I29" s="4" t="n">
        <v>0.00222122</v>
      </c>
      <c r="J29" s="4" t="n">
        <v>0.0021990078</v>
      </c>
      <c r="K29" s="4" t="n">
        <v>0.00222122270605205</v>
      </c>
      <c r="L29" s="5" t="n">
        <v>0.00145203957411945</v>
      </c>
      <c r="M29" s="5" t="n">
        <f aca="false">L29/(1-0.19)</f>
        <v>0.00179264144953019</v>
      </c>
      <c r="N29" s="5" t="n">
        <f aca="false">L29/(1-0.183)</f>
        <v>0.00177728222046444</v>
      </c>
      <c r="O29" s="5" t="n">
        <v>0.00226944811662656</v>
      </c>
      <c r="P29" s="5" t="n">
        <v>0.00148083915299901</v>
      </c>
      <c r="Q29" s="5" t="n">
        <v>0.00233156930519968</v>
      </c>
      <c r="R29" s="5" t="n">
        <v>0.00227328007256969</v>
      </c>
      <c r="S29" s="4" t="n">
        <v>0.000659</v>
      </c>
      <c r="T29" s="4" t="n">
        <v>0.000738</v>
      </c>
      <c r="U29" s="4" t="n">
        <f aca="false">T29/(1-0.33)</f>
        <v>0.00110149253731343</v>
      </c>
      <c r="V29" s="4" t="n">
        <v>0.000849</v>
      </c>
      <c r="W29" s="4" t="n">
        <v>0.000849</v>
      </c>
      <c r="X29" s="4" t="n">
        <v>0.000749</v>
      </c>
      <c r="Y29" s="4" t="n">
        <v>0.00071155</v>
      </c>
      <c r="Z29" s="4" t="n">
        <v>0.00057</v>
      </c>
      <c r="AA29" s="4" t="n">
        <v>0.00055575</v>
      </c>
      <c r="AB29" s="4" t="n">
        <v>0.000677</v>
      </c>
      <c r="AC29" s="4" t="n">
        <v>0.0010457511</v>
      </c>
      <c r="AD29" s="4" t="n">
        <f aca="false">AC29/(1-0.1)</f>
        <v>0.00116194566666667</v>
      </c>
      <c r="AE29" s="4" t="n">
        <f aca="false">AC29/(1-0.15)</f>
        <v>0.00123029541176471</v>
      </c>
      <c r="AF29" s="4" t="n">
        <f aca="false">AC29/(1-0.2)</f>
        <v>0.001307188875</v>
      </c>
      <c r="AG29" s="4" t="n">
        <f aca="false">AC29/(1-0.24)</f>
        <v>0.00137598828947368</v>
      </c>
      <c r="AH29" s="4" t="n">
        <v>0.0023</v>
      </c>
      <c r="AI29" s="4" t="n">
        <v>0.000684</v>
      </c>
      <c r="AJ29" s="4" t="n">
        <v>0.00171</v>
      </c>
      <c r="AK29" s="4" t="n">
        <v>0.001375</v>
      </c>
      <c r="AL29" s="4" t="n">
        <v>0.001314</v>
      </c>
      <c r="AM29" s="4" t="n">
        <v>0.001301</v>
      </c>
      <c r="AN29" s="4" t="n">
        <v>0.000828</v>
      </c>
      <c r="AO29" s="4" t="n">
        <v>0.00069552</v>
      </c>
      <c r="AP29" s="4" t="n">
        <v>0.00068724</v>
      </c>
      <c r="AQ29" s="4" t="n">
        <v>0.00067896</v>
      </c>
      <c r="AR29" s="4" t="n">
        <v>0.00067068</v>
      </c>
      <c r="AS29" s="4" t="n">
        <v>0.00066654</v>
      </c>
      <c r="AT29" s="4" t="n">
        <v>0.0006624</v>
      </c>
      <c r="AU29" s="4" t="n">
        <v>0.0082</v>
      </c>
      <c r="AV29" s="4" t="n">
        <v>0.000382</v>
      </c>
      <c r="AW29" s="4" t="n">
        <v>0.002204</v>
      </c>
      <c r="AX29" s="4" t="n">
        <v>0.00638</v>
      </c>
      <c r="AY29" s="4" t="n">
        <v>0.000782</v>
      </c>
      <c r="AZ29" s="5" t="n">
        <v>0.00126</v>
      </c>
      <c r="BA29" s="5" t="n">
        <v>0.000764</v>
      </c>
      <c r="BB29" s="5" t="n">
        <v>0.000333</v>
      </c>
      <c r="BC29" s="5" t="n">
        <v>0.000154</v>
      </c>
      <c r="BD29" s="5" t="n">
        <v>0.00948</v>
      </c>
      <c r="BE29" s="5" t="n">
        <v>0.00254</v>
      </c>
      <c r="BF29" s="5" t="n">
        <v>0.0010373</v>
      </c>
      <c r="BG29" s="5" t="n">
        <f aca="false">BF29/(1-0.2)</f>
        <v>0.001296625</v>
      </c>
      <c r="BH29" s="5" t="n">
        <f aca="false">BF29/(1-0.25)</f>
        <v>0.00138306666666667</v>
      </c>
      <c r="BI29" s="5" t="n">
        <v>0.0007298</v>
      </c>
      <c r="BJ29" s="5" t="n">
        <v>0.001985</v>
      </c>
      <c r="BK29" s="5" t="n">
        <v>0.000392</v>
      </c>
      <c r="BL29" s="5" t="n">
        <v>0.00161981</v>
      </c>
      <c r="BM29" s="5" t="n">
        <v>0.0015226214</v>
      </c>
    </row>
    <row r="30" customFormat="false" ht="15.75" hidden="false" customHeight="true" outlineLevel="0" collapsed="false">
      <c r="A30" s="2" t="n">
        <v>28</v>
      </c>
      <c r="B30" s="2" t="n">
        <v>0.00249087</v>
      </c>
      <c r="C30" s="4" t="n">
        <v>0.002533180765</v>
      </c>
      <c r="D30" s="4" t="n">
        <v>0.00253318</v>
      </c>
      <c r="E30" s="4" t="n">
        <v>0.002761</v>
      </c>
      <c r="F30" s="4" t="n">
        <v>0.00276133</v>
      </c>
      <c r="G30" s="4" t="n">
        <v>0.00255423025</v>
      </c>
      <c r="H30" s="4" t="n">
        <v>0.00218250259497048</v>
      </c>
      <c r="I30" s="4" t="n">
        <v>0.00223235</v>
      </c>
      <c r="J30" s="4" t="n">
        <v>0.0022100265</v>
      </c>
      <c r="K30" s="4" t="n">
        <v>0.00223235122820073</v>
      </c>
      <c r="L30" s="5" t="n">
        <v>0.00147527336889797</v>
      </c>
      <c r="M30" s="5" t="n">
        <f aca="false">L30/(1-0.19)</f>
        <v>0.00182132514678762</v>
      </c>
      <c r="N30" s="5" t="n">
        <f aca="false">L30/(1-0.183)</f>
        <v>0.00180572015776986</v>
      </c>
      <c r="O30" s="5" t="n">
        <v>0.00228229156322926</v>
      </c>
      <c r="P30" s="5" t="n">
        <v>0.00150551016386283</v>
      </c>
      <c r="Q30" s="5" t="n">
        <v>0.00234236872895829</v>
      </c>
      <c r="R30" s="5" t="n">
        <v>0.00228380951073434</v>
      </c>
      <c r="S30" s="4" t="n">
        <v>0.000675</v>
      </c>
      <c r="T30" s="4" t="n">
        <v>0.000758</v>
      </c>
      <c r="U30" s="4" t="n">
        <f aca="false">T30/(1-0.33)</f>
        <v>0.00113134328358209</v>
      </c>
      <c r="V30" s="4" t="n">
        <v>0.000896</v>
      </c>
      <c r="W30" s="4" t="n">
        <v>0.000896</v>
      </c>
      <c r="X30" s="4" t="n">
        <v>0.000791</v>
      </c>
      <c r="Y30" s="4" t="n">
        <v>0.00075145</v>
      </c>
      <c r="Z30" s="4" t="n">
        <v>0.000602</v>
      </c>
      <c r="AA30" s="4" t="n">
        <v>0.00058695</v>
      </c>
      <c r="AB30" s="4" t="n">
        <v>0.000704</v>
      </c>
      <c r="AC30" s="4" t="n">
        <v>0.0010428245</v>
      </c>
      <c r="AD30" s="4" t="n">
        <f aca="false">AC30/(1-0.1)</f>
        <v>0.00115869388888889</v>
      </c>
      <c r="AE30" s="4" t="n">
        <f aca="false">AC30/(1-0.15)</f>
        <v>0.00122685235294118</v>
      </c>
      <c r="AF30" s="4" t="n">
        <f aca="false">AC30/(1-0.2)</f>
        <v>0.001303530625</v>
      </c>
      <c r="AG30" s="4" t="n">
        <f aca="false">AC30/(1-0.24)</f>
        <v>0.0013721375</v>
      </c>
      <c r="AH30" s="4" t="n">
        <v>0.00233</v>
      </c>
      <c r="AI30" s="4" t="n">
        <v>0.000722</v>
      </c>
      <c r="AJ30" s="4" t="n">
        <v>0.0017</v>
      </c>
      <c r="AK30" s="4" t="n">
        <v>0.00139</v>
      </c>
      <c r="AL30" s="4" t="n">
        <v>0.001302</v>
      </c>
      <c r="AM30" s="4" t="n">
        <v>0.001303</v>
      </c>
      <c r="AN30" s="4" t="n">
        <v>0.000873</v>
      </c>
      <c r="AO30" s="4" t="n">
        <v>0.00073332</v>
      </c>
      <c r="AP30" s="4" t="n">
        <v>0.00072459</v>
      </c>
      <c r="AQ30" s="4" t="n">
        <v>0.00071586</v>
      </c>
      <c r="AR30" s="4" t="n">
        <v>0.00070713</v>
      </c>
      <c r="AS30" s="4" t="n">
        <v>0.000702765</v>
      </c>
      <c r="AT30" s="4" t="n">
        <v>0.0006984</v>
      </c>
      <c r="AU30" s="4" t="n">
        <v>0.00826</v>
      </c>
      <c r="AV30" s="4" t="n">
        <v>0.000393</v>
      </c>
      <c r="AW30" s="4" t="n">
        <v>0.002322</v>
      </c>
      <c r="AX30" s="4" t="n">
        <v>0.00646</v>
      </c>
      <c r="AY30" s="4" t="n">
        <v>0.000811</v>
      </c>
      <c r="AZ30" s="5" t="n">
        <v>0.0013</v>
      </c>
      <c r="BA30" s="5" t="n">
        <v>0.000789</v>
      </c>
      <c r="BB30" s="5" t="n">
        <v>0.000354</v>
      </c>
      <c r="BC30" s="5" t="n">
        <v>0.00016</v>
      </c>
      <c r="BD30" s="5" t="n">
        <v>0.00958</v>
      </c>
      <c r="BE30" s="5" t="n">
        <v>0.0026</v>
      </c>
      <c r="BF30" s="5" t="n">
        <v>0.0010233</v>
      </c>
      <c r="BG30" s="5" t="n">
        <f aca="false">BF30/(1-0.2)</f>
        <v>0.001279125</v>
      </c>
      <c r="BH30" s="5" t="n">
        <f aca="false">BF30/(1-0.25)</f>
        <v>0.0013644</v>
      </c>
      <c r="BI30" s="5" t="n">
        <v>0.0007258</v>
      </c>
      <c r="BJ30" s="5" t="n">
        <v>0.002095</v>
      </c>
      <c r="BK30" s="5" t="n">
        <v>0.00042</v>
      </c>
      <c r="BL30" s="5" t="n">
        <v>0.00163959</v>
      </c>
      <c r="BM30" s="5" t="n">
        <v>0.0015412146</v>
      </c>
    </row>
    <row r="31" customFormat="false" ht="15.75" hidden="false" customHeight="true" outlineLevel="0" collapsed="false">
      <c r="A31" s="2" t="n">
        <v>29</v>
      </c>
      <c r="B31" s="2" t="n">
        <v>0.00248816</v>
      </c>
      <c r="C31" s="4" t="n">
        <v>0.002530477158</v>
      </c>
      <c r="D31" s="4" t="n">
        <v>0.00253048</v>
      </c>
      <c r="E31" s="4" t="n">
        <v>0.002776</v>
      </c>
      <c r="F31" s="4" t="n">
        <v>0.00277597</v>
      </c>
      <c r="G31" s="4" t="n">
        <v>0.00256777225</v>
      </c>
      <c r="H31" s="4" t="n">
        <v>0.00221555568436637</v>
      </c>
      <c r="I31" s="4" t="n">
        <v>0.00226799</v>
      </c>
      <c r="J31" s="4" t="n">
        <v>0.0022453101</v>
      </c>
      <c r="K31" s="4" t="n">
        <v>0.00226799118206209</v>
      </c>
      <c r="L31" s="5" t="n">
        <v>0.00151420015678122</v>
      </c>
      <c r="M31" s="5" t="n">
        <f aca="false">L31/(1-0.19)</f>
        <v>0.00186938290960644</v>
      </c>
      <c r="N31" s="5" t="n">
        <f aca="false">L31/(1-0.183)</f>
        <v>0.00185336616497089</v>
      </c>
      <c r="O31" s="5" t="n">
        <v>0.00232098968521618</v>
      </c>
      <c r="P31" s="5" t="n">
        <v>0.00154685051901053</v>
      </c>
      <c r="Q31" s="5" t="n">
        <v>0.0023773474434801</v>
      </c>
      <c r="R31" s="5" t="n">
        <v>0.0023179137573931</v>
      </c>
      <c r="S31" s="4" t="n">
        <v>0.000687</v>
      </c>
      <c r="T31" s="4" t="n">
        <v>0.000774</v>
      </c>
      <c r="U31" s="4" t="n">
        <f aca="false">T31/(1-0.33)</f>
        <v>0.00115522388059702</v>
      </c>
      <c r="V31" s="4" t="n">
        <v>0.000947</v>
      </c>
      <c r="W31" s="4" t="n">
        <v>0.000947</v>
      </c>
      <c r="X31" s="4" t="n">
        <v>0.000839</v>
      </c>
      <c r="Y31" s="4" t="n">
        <v>0.00079705</v>
      </c>
      <c r="Z31" s="4" t="n">
        <v>0.000636</v>
      </c>
      <c r="AA31" s="4" t="n">
        <v>0.0006201</v>
      </c>
      <c r="AB31" s="4" t="n">
        <v>0.000731</v>
      </c>
      <c r="AC31" s="4" t="n">
        <v>0.0010417837</v>
      </c>
      <c r="AD31" s="4" t="n">
        <f aca="false">AC31/(1-0.1)</f>
        <v>0.00115753744444444</v>
      </c>
      <c r="AE31" s="4" t="n">
        <f aca="false">AC31/(1-0.15)</f>
        <v>0.00122562788235294</v>
      </c>
      <c r="AF31" s="4" t="n">
        <f aca="false">AC31/(1-0.2)</f>
        <v>0.001302229625</v>
      </c>
      <c r="AG31" s="4" t="n">
        <f aca="false">AC31/(1-0.24)</f>
        <v>0.00137076802631579</v>
      </c>
      <c r="AH31" s="4" t="n">
        <v>0.00236</v>
      </c>
      <c r="AI31" s="4" t="n">
        <v>0.000763</v>
      </c>
      <c r="AJ31" s="4" t="n">
        <v>0.00171</v>
      </c>
      <c r="AK31" s="4" t="n">
        <v>0.001405</v>
      </c>
      <c r="AL31" s="4" t="n">
        <v>0.001297</v>
      </c>
      <c r="AM31" s="4" t="n">
        <v>0.001304</v>
      </c>
      <c r="AN31" s="4" t="n">
        <v>0.000922</v>
      </c>
      <c r="AO31" s="4" t="n">
        <v>0.00077448</v>
      </c>
      <c r="AP31" s="4" t="n">
        <v>0.00076526</v>
      </c>
      <c r="AQ31" s="4" t="n">
        <v>0.00075604</v>
      </c>
      <c r="AR31" s="4" t="n">
        <v>0.00074682</v>
      </c>
      <c r="AS31" s="4" t="n">
        <v>0.00074221</v>
      </c>
      <c r="AT31" s="4" t="n">
        <v>0.0007376</v>
      </c>
      <c r="AU31" s="4" t="n">
        <v>0.00834</v>
      </c>
      <c r="AV31" s="4" t="n">
        <v>0.000412</v>
      </c>
      <c r="AW31" s="4" t="n">
        <v>0.002452</v>
      </c>
      <c r="AX31" s="4" t="n">
        <v>0.00654</v>
      </c>
      <c r="AY31" s="4" t="n">
        <v>0.000838</v>
      </c>
      <c r="AZ31" s="5" t="n">
        <v>0.00136</v>
      </c>
      <c r="BA31" s="5" t="n">
        <v>0.000808</v>
      </c>
      <c r="BB31" s="5" t="n">
        <v>0.000379</v>
      </c>
      <c r="BC31" s="5" t="n">
        <v>0.000167</v>
      </c>
      <c r="BD31" s="5" t="n">
        <v>0.00971</v>
      </c>
      <c r="BE31" s="5" t="n">
        <v>0.00269</v>
      </c>
      <c r="BF31" s="5" t="n">
        <v>0.0010371</v>
      </c>
      <c r="BG31" s="5" t="n">
        <f aca="false">BF31/(1-0.2)</f>
        <v>0.001296375</v>
      </c>
      <c r="BH31" s="5" t="n">
        <f aca="false">BF31/(1-0.25)</f>
        <v>0.0013828</v>
      </c>
      <c r="BI31" s="5" t="n">
        <v>0.0007177</v>
      </c>
      <c r="BJ31" s="5" t="n">
        <v>0.002219</v>
      </c>
      <c r="BK31" s="5" t="n">
        <v>0.000451</v>
      </c>
      <c r="BL31" s="5" t="n">
        <v>0.00166219</v>
      </c>
      <c r="BM31" s="5" t="n">
        <v>0.0015624586</v>
      </c>
    </row>
    <row r="32" customFormat="false" ht="15.75" hidden="false" customHeight="true" outlineLevel="0" collapsed="false">
      <c r="A32" s="2" t="n">
        <v>30</v>
      </c>
      <c r="B32" s="2" t="n">
        <v>0.00247514</v>
      </c>
      <c r="C32" s="4" t="n">
        <v>0.002517404437</v>
      </c>
      <c r="D32" s="4" t="n">
        <v>0.0025174</v>
      </c>
      <c r="E32" s="4" t="n">
        <v>0.002788</v>
      </c>
      <c r="F32" s="4" t="n">
        <v>0.00278812</v>
      </c>
      <c r="G32" s="4" t="n">
        <v>0.002579011</v>
      </c>
      <c r="H32" s="4" t="n">
        <v>0.00225389871364731</v>
      </c>
      <c r="I32" s="4" t="n">
        <v>0.00230905</v>
      </c>
      <c r="J32" s="4" t="n">
        <v>0.0022859595</v>
      </c>
      <c r="K32" s="4" t="n">
        <v>0.00230904965929978</v>
      </c>
      <c r="L32" s="5" t="n">
        <v>0.00155907965942599</v>
      </c>
      <c r="M32" s="5" t="n">
        <f aca="false">L32/(1-0.19)</f>
        <v>0.00192478970299505</v>
      </c>
      <c r="N32" s="5" t="n">
        <f aca="false">L32/(1-0.183)</f>
        <v>0.00190829823675152</v>
      </c>
      <c r="O32" s="5" t="n">
        <v>0.00236558210614458</v>
      </c>
      <c r="P32" s="5" t="n">
        <v>0.00159443068195359</v>
      </c>
      <c r="Q32" s="5" t="n">
        <v>0.00241714514746041</v>
      </c>
      <c r="R32" s="5" t="n">
        <v>0.0023567165187739</v>
      </c>
      <c r="S32" s="4" t="n">
        <v>0.000694</v>
      </c>
      <c r="T32" s="4" t="n">
        <v>0.000784</v>
      </c>
      <c r="U32" s="4" t="n">
        <f aca="false">T32/(1-0.33)</f>
        <v>0.00117014925373134</v>
      </c>
      <c r="V32" s="4" t="n">
        <v>0.001004</v>
      </c>
      <c r="W32" s="4" t="n">
        <v>0.001004</v>
      </c>
      <c r="X32" s="4" t="n">
        <v>0.000893</v>
      </c>
      <c r="Y32" s="4" t="n">
        <v>0.00084835</v>
      </c>
      <c r="Z32" s="4" t="n">
        <v>0.000674</v>
      </c>
      <c r="AA32" s="4" t="n">
        <v>0.00065715</v>
      </c>
      <c r="AB32" s="4" t="n">
        <v>0.000759</v>
      </c>
      <c r="AC32" s="4" t="n">
        <v>0.001044681</v>
      </c>
      <c r="AD32" s="4" t="n">
        <f aca="false">AC32/(1-0.1)</f>
        <v>0.00116075666666667</v>
      </c>
      <c r="AE32" s="4" t="n">
        <f aca="false">AC32/(1-0.15)</f>
        <v>0.00122903647058824</v>
      </c>
      <c r="AF32" s="4" t="n">
        <f aca="false">AC32/(1-0.2)</f>
        <v>0.00130585125</v>
      </c>
      <c r="AG32" s="4" t="n">
        <f aca="false">AC32/(1-0.24)</f>
        <v>0.00137458026315789</v>
      </c>
      <c r="AH32" s="4" t="n">
        <v>0.0024</v>
      </c>
      <c r="AI32" s="4" t="n">
        <v>0.000809</v>
      </c>
      <c r="AJ32" s="4" t="n">
        <v>0.00173</v>
      </c>
      <c r="AK32" s="4" t="n">
        <v>0.001424</v>
      </c>
      <c r="AL32" s="4" t="n">
        <v>0.0013</v>
      </c>
      <c r="AM32" s="4" t="n">
        <v>0.001306</v>
      </c>
      <c r="AN32" s="4" t="n">
        <v>0.000976</v>
      </c>
      <c r="AO32" s="4" t="n">
        <v>0.00081984</v>
      </c>
      <c r="AP32" s="4" t="n">
        <v>0.00081008</v>
      </c>
      <c r="AQ32" s="4" t="n">
        <v>0.00080032</v>
      </c>
      <c r="AR32" s="4" t="n">
        <v>0.00079056</v>
      </c>
      <c r="AS32" s="4" t="n">
        <v>0.00078568</v>
      </c>
      <c r="AT32" s="4" t="n">
        <v>0.0007808</v>
      </c>
      <c r="AU32" s="4" t="n">
        <v>0.00843</v>
      </c>
      <c r="AV32" s="4" t="n">
        <v>0.000444</v>
      </c>
      <c r="AW32" s="4" t="n">
        <v>0.002595</v>
      </c>
      <c r="AX32" s="4" t="n">
        <v>0.00664</v>
      </c>
      <c r="AY32" s="4" t="n">
        <v>0.000862</v>
      </c>
      <c r="AZ32" s="5" t="n">
        <v>0.00143</v>
      </c>
      <c r="BA32" s="5" t="n">
        <v>0.000824</v>
      </c>
      <c r="BB32" s="5" t="n">
        <v>0.000407</v>
      </c>
      <c r="BC32" s="5" t="n">
        <v>0.000175</v>
      </c>
      <c r="BD32" s="5" t="n">
        <v>0.00984</v>
      </c>
      <c r="BE32" s="5" t="n">
        <v>0.0028</v>
      </c>
      <c r="BF32" s="5" t="n">
        <v>0.0010541</v>
      </c>
      <c r="BG32" s="5" t="n">
        <f aca="false">BF32/(1-0.2)</f>
        <v>0.001317625</v>
      </c>
      <c r="BH32" s="5" t="n">
        <f aca="false">BF32/(1-0.25)</f>
        <v>0.00140546666666667</v>
      </c>
      <c r="BI32" s="5" t="n">
        <v>0.0007211</v>
      </c>
      <c r="BJ32" s="5" t="n">
        <v>0.002332</v>
      </c>
      <c r="BK32" s="5" t="n">
        <v>0.000486</v>
      </c>
      <c r="BL32" s="5" t="n">
        <v>0.00168801</v>
      </c>
      <c r="BM32" s="5" t="n">
        <v>0.0015867294</v>
      </c>
    </row>
    <row r="33" customFormat="false" ht="15.75" hidden="false" customHeight="true" outlineLevel="0" collapsed="false">
      <c r="A33" s="2" t="n">
        <v>31</v>
      </c>
      <c r="B33" s="2" t="n">
        <v>0.00246332</v>
      </c>
      <c r="C33" s="4" t="n">
        <v>0.002505591475</v>
      </c>
      <c r="D33" s="4" t="n">
        <v>0.00250559</v>
      </c>
      <c r="E33" s="4" t="n">
        <v>0.002802</v>
      </c>
      <c r="F33" s="4" t="n">
        <v>0.00280239</v>
      </c>
      <c r="G33" s="4" t="n">
        <v>0.00259221075</v>
      </c>
      <c r="H33" s="4" t="n">
        <v>0.00229034155868785</v>
      </c>
      <c r="I33" s="4" t="n">
        <v>0.00234781</v>
      </c>
      <c r="J33" s="4" t="n">
        <v>0.0023243319</v>
      </c>
      <c r="K33" s="4" t="n">
        <v>0.00234781403176356</v>
      </c>
      <c r="L33" s="5" t="n">
        <v>0.0016042713780929</v>
      </c>
      <c r="M33" s="5" t="n">
        <f aca="false">L33/(1-0.19)</f>
        <v>0.00198058194826284</v>
      </c>
      <c r="N33" s="5" t="n">
        <f aca="false">L33/(1-0.183)</f>
        <v>0.00196361245788605</v>
      </c>
      <c r="O33" s="5" t="n">
        <v>0.00240724407126899</v>
      </c>
      <c r="P33" s="5" t="n">
        <v>0.00164210437094456</v>
      </c>
      <c r="Q33" s="5" t="n">
        <v>0.00245488590123449</v>
      </c>
      <c r="R33" s="5" t="n">
        <v>0.00239351375370362</v>
      </c>
      <c r="S33" s="4" t="n">
        <v>0.000699</v>
      </c>
      <c r="T33" s="4" t="n">
        <v>0.000789</v>
      </c>
      <c r="U33" s="4" t="n">
        <f aca="false">T33/(1-0.33)</f>
        <v>0.00117761194029851</v>
      </c>
      <c r="V33" s="4" t="n">
        <v>0.001067</v>
      </c>
      <c r="W33" s="4" t="n">
        <v>0.001067</v>
      </c>
      <c r="X33" s="4" t="n">
        <v>0.000953</v>
      </c>
      <c r="Y33" s="4" t="n">
        <v>0.00090535</v>
      </c>
      <c r="Z33" s="4" t="n">
        <v>0.000717</v>
      </c>
      <c r="AA33" s="4" t="n">
        <v>0.000699075</v>
      </c>
      <c r="AB33" s="4" t="n">
        <v>0.000786</v>
      </c>
      <c r="AC33" s="4" t="n">
        <v>0.0010533364</v>
      </c>
      <c r="AD33" s="4" t="n">
        <f aca="false">AC33/(1-0.1)</f>
        <v>0.00117037377777778</v>
      </c>
      <c r="AE33" s="4" t="n">
        <f aca="false">AC33/(1-0.15)</f>
        <v>0.00123921929411765</v>
      </c>
      <c r="AF33" s="4" t="n">
        <f aca="false">AC33/(1-0.2)</f>
        <v>0.0013166705</v>
      </c>
      <c r="AG33" s="4" t="n">
        <f aca="false">AC33/(1-0.24)</f>
        <v>0.00138596894736842</v>
      </c>
      <c r="AH33" s="4" t="n">
        <v>0.00245</v>
      </c>
      <c r="AI33" s="4" t="n">
        <v>0.00086</v>
      </c>
      <c r="AJ33" s="4" t="n">
        <v>0.00178</v>
      </c>
      <c r="AK33" s="4" t="n">
        <v>0.001473</v>
      </c>
      <c r="AL33" s="4" t="n">
        <v>0.00131</v>
      </c>
      <c r="AM33" s="4" t="n">
        <v>0.001315</v>
      </c>
      <c r="AN33" s="4" t="n">
        <v>0.001036</v>
      </c>
      <c r="AO33" s="4" t="n">
        <v>0.00087024</v>
      </c>
      <c r="AP33" s="4" t="n">
        <v>0.00085988</v>
      </c>
      <c r="AQ33" s="4" t="n">
        <v>0.00084952</v>
      </c>
      <c r="AR33" s="4" t="n">
        <v>0.00083916</v>
      </c>
      <c r="AS33" s="4" t="n">
        <v>0.00083398</v>
      </c>
      <c r="AT33" s="4" t="n">
        <v>0.0008288</v>
      </c>
      <c r="AU33" s="4" t="n">
        <v>0.00851</v>
      </c>
      <c r="AV33" s="4" t="n">
        <v>0.000499</v>
      </c>
      <c r="AW33" s="4" t="n">
        <v>0.002753</v>
      </c>
      <c r="AX33" s="4" t="n">
        <v>0.00675</v>
      </c>
      <c r="AY33" s="4" t="n">
        <v>0.000883</v>
      </c>
      <c r="AZ33" s="5" t="n">
        <v>0.00151</v>
      </c>
      <c r="BA33" s="5" t="n">
        <v>0.000834</v>
      </c>
      <c r="BB33" s="5" t="n">
        <v>0.000438</v>
      </c>
      <c r="BC33" s="5" t="n">
        <v>0.000186</v>
      </c>
      <c r="BD33" s="5" t="n">
        <v>0.00998</v>
      </c>
      <c r="BE33" s="5" t="n">
        <v>0.00293</v>
      </c>
      <c r="BF33" s="5" t="n">
        <v>0.0010763</v>
      </c>
      <c r="BG33" s="5" t="n">
        <f aca="false">BF33/(1-0.2)</f>
        <v>0.001345375</v>
      </c>
      <c r="BH33" s="5" t="n">
        <f aca="false">BF33/(1-0.25)</f>
        <v>0.00143506666666667</v>
      </c>
      <c r="BI33" s="5" t="n">
        <v>0.0007342</v>
      </c>
      <c r="BJ33" s="5" t="n">
        <v>0.002445</v>
      </c>
      <c r="BK33" s="5" t="n">
        <v>0.000524</v>
      </c>
      <c r="BL33" s="5" t="n">
        <v>0.00171751</v>
      </c>
      <c r="BM33" s="5" t="n">
        <v>0.0016144594</v>
      </c>
    </row>
    <row r="34" customFormat="false" ht="15.75" hidden="false" customHeight="true" outlineLevel="0" collapsed="false">
      <c r="A34" s="2" t="n">
        <v>32</v>
      </c>
      <c r="B34" s="2" t="n">
        <v>0.0024632</v>
      </c>
      <c r="C34" s="4" t="n">
        <v>0.002505685755</v>
      </c>
      <c r="D34" s="4" t="n">
        <v>0.00250569</v>
      </c>
      <c r="E34" s="4" t="n">
        <v>0.002824</v>
      </c>
      <c r="F34" s="4" t="n">
        <v>0.00282364</v>
      </c>
      <c r="G34" s="4" t="n">
        <v>0.002611867</v>
      </c>
      <c r="H34" s="4" t="n">
        <v>0.00233648860615947</v>
      </c>
      <c r="I34" s="4" t="n">
        <v>0.00239636</v>
      </c>
      <c r="J34" s="4" t="n">
        <v>0.0023723964</v>
      </c>
      <c r="K34" s="4" t="n">
        <v>0.00239635636083399</v>
      </c>
      <c r="L34" s="5" t="n">
        <v>0.00165402876234395</v>
      </c>
      <c r="M34" s="5" t="n">
        <f aca="false">L34/(1-0.19)</f>
        <v>0.00204201081770858</v>
      </c>
      <c r="N34" s="5" t="n">
        <f aca="false">L34/(1-0.183)</f>
        <v>0.00202451500898892</v>
      </c>
      <c r="O34" s="5" t="n">
        <v>0.00245760349964083</v>
      </c>
      <c r="P34" s="5" t="n">
        <v>0.00169421170993855</v>
      </c>
      <c r="Q34" s="5" t="n">
        <v>0.00250402908442279</v>
      </c>
      <c r="R34" s="5" t="n">
        <v>0.00244142835731222</v>
      </c>
      <c r="S34" s="4" t="n">
        <v>0.0007</v>
      </c>
      <c r="T34" s="4" t="n">
        <v>0.000789</v>
      </c>
      <c r="U34" s="4" t="n">
        <f aca="false">T34/(1-0.33)</f>
        <v>0.00117761194029851</v>
      </c>
      <c r="V34" s="4" t="n">
        <v>0.001136</v>
      </c>
      <c r="W34" s="4" t="n">
        <v>0.001136</v>
      </c>
      <c r="X34" s="4" t="n">
        <v>0.00102</v>
      </c>
      <c r="Y34" s="4" t="n">
        <v>0.000969</v>
      </c>
      <c r="Z34" s="4" t="n">
        <v>0.000763</v>
      </c>
      <c r="AA34" s="4" t="n">
        <v>0.000743925</v>
      </c>
      <c r="AB34" s="4" t="n">
        <v>0.000814</v>
      </c>
      <c r="AC34" s="4" t="n">
        <v>0.0010691129</v>
      </c>
      <c r="AD34" s="4" t="n">
        <f aca="false">AC34/(1-0.1)</f>
        <v>0.00118790322222222</v>
      </c>
      <c r="AE34" s="4" t="n">
        <f aca="false">AC34/(1-0.15)</f>
        <v>0.00125777988235294</v>
      </c>
      <c r="AF34" s="4" t="n">
        <f aca="false">AC34/(1-0.2)</f>
        <v>0.001336391125</v>
      </c>
      <c r="AG34" s="4" t="n">
        <f aca="false">AC34/(1-0.24)</f>
        <v>0.0014067275</v>
      </c>
      <c r="AH34" s="4" t="n">
        <v>0.00251</v>
      </c>
      <c r="AI34" s="4" t="n">
        <v>0.000916</v>
      </c>
      <c r="AJ34" s="4" t="n">
        <v>0.00183</v>
      </c>
      <c r="AK34" s="4" t="n">
        <v>0.001532</v>
      </c>
      <c r="AL34" s="4" t="n">
        <v>0.00133</v>
      </c>
      <c r="AM34" s="4" t="n">
        <v>0.001332</v>
      </c>
      <c r="AN34" s="4" t="n">
        <v>0.001102</v>
      </c>
      <c r="AO34" s="4" t="n">
        <v>0.00092568</v>
      </c>
      <c r="AP34" s="4" t="n">
        <v>0.00091466</v>
      </c>
      <c r="AQ34" s="4" t="n">
        <v>0.00090364</v>
      </c>
      <c r="AR34" s="4" t="n">
        <v>0.00089262</v>
      </c>
      <c r="AS34" s="4" t="n">
        <v>0.00088711</v>
      </c>
      <c r="AT34" s="4" t="n">
        <v>0.0008816</v>
      </c>
      <c r="AU34" s="4" t="n">
        <v>0.00861</v>
      </c>
      <c r="AV34" s="4" t="n">
        <v>0.000562</v>
      </c>
      <c r="AW34" s="4" t="n">
        <v>0.002927</v>
      </c>
      <c r="AX34" s="4" t="n">
        <v>0.00687</v>
      </c>
      <c r="AY34" s="4" t="n">
        <v>0.000902</v>
      </c>
      <c r="AZ34" s="5" t="n">
        <v>0.0016</v>
      </c>
      <c r="BA34" s="5" t="n">
        <v>0.000838</v>
      </c>
      <c r="BB34" s="5" t="n">
        <v>0.000472</v>
      </c>
      <c r="BC34" s="5" t="n">
        <v>0.000198</v>
      </c>
      <c r="BD34" s="5" t="n">
        <v>0.01014</v>
      </c>
      <c r="BE34" s="5" t="n">
        <v>0.00307</v>
      </c>
      <c r="BF34" s="5" t="n">
        <v>0.0011029</v>
      </c>
      <c r="BG34" s="5" t="n">
        <f aca="false">BF34/(1-0.2)</f>
        <v>0.001378625</v>
      </c>
      <c r="BH34" s="5" t="n">
        <f aca="false">BF34/(1-0.25)</f>
        <v>0.00147053333333333</v>
      </c>
      <c r="BI34" s="5" t="n">
        <v>0.0007579</v>
      </c>
      <c r="BJ34" s="5" t="n">
        <v>0.002562</v>
      </c>
      <c r="BK34" s="5" t="n">
        <v>0.000566</v>
      </c>
      <c r="BL34" s="5" t="n">
        <v>0.00175121</v>
      </c>
      <c r="BM34" s="5" t="n">
        <v>0.0016461374</v>
      </c>
    </row>
    <row r="35" customFormat="false" ht="15.75" hidden="false" customHeight="true" outlineLevel="0" collapsed="false">
      <c r="A35" s="2" t="n">
        <v>33</v>
      </c>
      <c r="B35" s="2" t="n">
        <v>0.00248402</v>
      </c>
      <c r="C35" s="4" t="n">
        <v>0.00252701628</v>
      </c>
      <c r="D35" s="4" t="n">
        <v>0.00252702</v>
      </c>
      <c r="E35" s="4" t="n">
        <v>0.002856</v>
      </c>
      <c r="F35" s="4" t="n">
        <v>0.00285647</v>
      </c>
      <c r="G35" s="4" t="n">
        <v>0.00264223475</v>
      </c>
      <c r="H35" s="4" t="n">
        <v>0.00239341965575598</v>
      </c>
      <c r="I35" s="4" t="n">
        <v>0.00245567</v>
      </c>
      <c r="J35" s="4" t="n">
        <v>0.0024311133</v>
      </c>
      <c r="K35" s="4" t="n">
        <v>0.00245567246834877</v>
      </c>
      <c r="L35" s="5" t="n">
        <v>0.00170787436668822</v>
      </c>
      <c r="M35" s="5" t="n">
        <f aca="false">L35/(1-0.19)</f>
        <v>0.00210848687245459</v>
      </c>
      <c r="N35" s="5" t="n">
        <f aca="false">L35/(1-0.183)</f>
        <v>0.00209042150145437</v>
      </c>
      <c r="O35" s="5" t="n">
        <v>0.00251714729538079</v>
      </c>
      <c r="P35" s="5" t="n">
        <v>0.00175010783905881</v>
      </c>
      <c r="Q35" s="5" t="n">
        <v>0.00256625971053149</v>
      </c>
      <c r="R35" s="5" t="n">
        <v>0.0025021032177682</v>
      </c>
      <c r="S35" s="4" t="n">
        <v>0.000701</v>
      </c>
      <c r="T35" s="4" t="n">
        <v>0.00079</v>
      </c>
      <c r="U35" s="4" t="n">
        <f aca="false">T35/(1-0.33)</f>
        <v>0.00117910447761194</v>
      </c>
      <c r="V35" s="4" t="n">
        <v>0.001213</v>
      </c>
      <c r="W35" s="4" t="n">
        <v>0.001213</v>
      </c>
      <c r="X35" s="4" t="n">
        <v>0.001095</v>
      </c>
      <c r="Y35" s="4" t="n">
        <v>0.00104025</v>
      </c>
      <c r="Z35" s="4" t="n">
        <v>0.000815</v>
      </c>
      <c r="AA35" s="4" t="n">
        <v>0.000794625</v>
      </c>
      <c r="AB35" s="4" t="n">
        <v>0.000843</v>
      </c>
      <c r="AC35" s="4" t="n">
        <v>0.0010931419</v>
      </c>
      <c r="AD35" s="4" t="n">
        <f aca="false">AC35/(1-0.1)</f>
        <v>0.00121460211111111</v>
      </c>
      <c r="AE35" s="4" t="n">
        <f aca="false">AC35/(1-0.15)</f>
        <v>0.00128604929411765</v>
      </c>
      <c r="AF35" s="4" t="n">
        <f aca="false">AC35/(1-0.2)</f>
        <v>0.001366427375</v>
      </c>
      <c r="AG35" s="4" t="n">
        <f aca="false">AC35/(1-0.24)</f>
        <v>0.00143834460526316</v>
      </c>
      <c r="AH35" s="4" t="n">
        <v>0.0026</v>
      </c>
      <c r="AI35" s="4" t="n">
        <v>0.000978</v>
      </c>
      <c r="AJ35" s="4" t="n">
        <v>0.00191</v>
      </c>
      <c r="AK35" s="4" t="n">
        <v>0.001603</v>
      </c>
      <c r="AL35" s="4" t="n">
        <v>0.001359</v>
      </c>
      <c r="AM35" s="4" t="n">
        <v>0.00136</v>
      </c>
      <c r="AN35" s="4" t="n">
        <v>0.001175</v>
      </c>
      <c r="AO35" s="4" t="n">
        <v>0.000987</v>
      </c>
      <c r="AP35" s="4" t="n">
        <v>0.00097525</v>
      </c>
      <c r="AQ35" s="4" t="n">
        <v>0.0009635</v>
      </c>
      <c r="AR35" s="4" t="n">
        <v>0.00095175</v>
      </c>
      <c r="AS35" s="4" t="n">
        <v>0.000945875</v>
      </c>
      <c r="AT35" s="4" t="n">
        <v>0.00094</v>
      </c>
      <c r="AU35" s="4" t="n">
        <v>0.00872</v>
      </c>
      <c r="AV35" s="4" t="n">
        <v>0.000631</v>
      </c>
      <c r="AW35" s="4" t="n">
        <v>0.003118</v>
      </c>
      <c r="AX35" s="4" t="n">
        <v>0.00699</v>
      </c>
      <c r="AY35" s="4" t="n">
        <v>0.000912</v>
      </c>
      <c r="AZ35" s="5" t="n">
        <v>0.0017</v>
      </c>
      <c r="BA35" s="5" t="n">
        <v>0.000828</v>
      </c>
      <c r="BB35" s="5" t="n">
        <v>0.000509</v>
      </c>
      <c r="BC35" s="5" t="n">
        <v>0.000213</v>
      </c>
      <c r="BD35" s="5" t="n">
        <v>0.01032</v>
      </c>
      <c r="BE35" s="5" t="n">
        <v>0.00324</v>
      </c>
      <c r="BF35" s="5" t="n">
        <v>0.0011428</v>
      </c>
      <c r="BG35" s="5" t="n">
        <f aca="false">BF35/(1-0.2)</f>
        <v>0.0014285</v>
      </c>
      <c r="BH35" s="5" t="n">
        <f aca="false">BF35/(1-0.25)</f>
        <v>0.00152373333333333</v>
      </c>
      <c r="BI35" s="5" t="n">
        <v>0.0007941</v>
      </c>
      <c r="BJ35" s="5" t="n">
        <v>0.002653</v>
      </c>
      <c r="BK35" s="5" t="n">
        <v>0.000613</v>
      </c>
      <c r="BL35" s="5" t="n">
        <v>0.00178971</v>
      </c>
      <c r="BM35" s="5" t="n">
        <v>0.0016823274</v>
      </c>
    </row>
    <row r="36" customFormat="false" ht="15.75" hidden="false" customHeight="true" outlineLevel="0" collapsed="false">
      <c r="A36" s="2" t="n">
        <v>34</v>
      </c>
      <c r="B36" s="2" t="n">
        <v>0.00252931</v>
      </c>
      <c r="C36" s="4" t="n">
        <v>0.002573169332</v>
      </c>
      <c r="D36" s="4" t="n">
        <v>0.00257317</v>
      </c>
      <c r="E36" s="4" t="n">
        <v>0.002903</v>
      </c>
      <c r="F36" s="4" t="n">
        <v>0.00290298</v>
      </c>
      <c r="G36" s="4" t="n">
        <v>0.0026852565</v>
      </c>
      <c r="H36" s="4" t="n">
        <v>0.00246217715915483</v>
      </c>
      <c r="I36" s="4" t="n">
        <v>0.00252673</v>
      </c>
      <c r="J36" s="4" t="n">
        <v>0.0025014627</v>
      </c>
      <c r="K36" s="4" t="n">
        <v>0.002526729353425</v>
      </c>
      <c r="L36" s="5" t="n">
        <v>0.00176789456640101</v>
      </c>
      <c r="M36" s="5" t="n">
        <f aca="false">L36/(1-0.19)</f>
        <v>0.00218258588444569</v>
      </c>
      <c r="N36" s="5" t="n">
        <f aca="false">L36/(1-0.183)</f>
        <v>0.00216388563818973</v>
      </c>
      <c r="O36" s="5" t="n">
        <v>0.00258732440776891</v>
      </c>
      <c r="P36" s="5" t="n">
        <v>0.00181196077300535</v>
      </c>
      <c r="Q36" s="5" t="n">
        <v>0.0026419677051226</v>
      </c>
      <c r="R36" s="5" t="n">
        <v>0.00257591851249454</v>
      </c>
      <c r="S36" s="4" t="n">
        <v>0.000702</v>
      </c>
      <c r="T36" s="4" t="n">
        <v>0.000791</v>
      </c>
      <c r="U36" s="4" t="n">
        <f aca="false">T36/(1-0.33)</f>
        <v>0.00118059701492537</v>
      </c>
      <c r="V36" s="4" t="n">
        <v>0.001297</v>
      </c>
      <c r="W36" s="4" t="n">
        <v>0.001297</v>
      </c>
      <c r="X36" s="4" t="n">
        <v>0.001179</v>
      </c>
      <c r="Y36" s="4" t="n">
        <v>0.00112005</v>
      </c>
      <c r="Z36" s="4" t="n">
        <v>0.000872</v>
      </c>
      <c r="AA36" s="4" t="n">
        <v>0.0008502</v>
      </c>
      <c r="AB36" s="4" t="n">
        <v>0.000876</v>
      </c>
      <c r="AC36" s="4" t="n">
        <v>0.0011263791</v>
      </c>
      <c r="AD36" s="4" t="n">
        <f aca="false">AC36/(1-0.1)</f>
        <v>0.00125153233333333</v>
      </c>
      <c r="AE36" s="4" t="n">
        <f aca="false">AC36/(1-0.15)</f>
        <v>0.00132515188235294</v>
      </c>
      <c r="AF36" s="4" t="n">
        <f aca="false">AC36/(1-0.2)</f>
        <v>0.001407973875</v>
      </c>
      <c r="AG36" s="4" t="n">
        <f aca="false">AC36/(1-0.24)</f>
        <v>0.00148207776315789</v>
      </c>
      <c r="AH36" s="4" t="n">
        <v>0.00271</v>
      </c>
      <c r="AI36" s="4" t="n">
        <v>0.001046</v>
      </c>
      <c r="AJ36" s="4" t="n">
        <v>0.002</v>
      </c>
      <c r="AK36" s="4" t="n">
        <v>0.001689</v>
      </c>
      <c r="AL36" s="4" t="n">
        <v>0.001397</v>
      </c>
      <c r="AM36" s="4" t="n">
        <v>0.001396</v>
      </c>
      <c r="AN36" s="4" t="n">
        <v>0.001255</v>
      </c>
      <c r="AO36" s="4" t="n">
        <v>0.0010542</v>
      </c>
      <c r="AP36" s="4" t="n">
        <v>0.00104165</v>
      </c>
      <c r="AQ36" s="4" t="n">
        <v>0.0010291</v>
      </c>
      <c r="AR36" s="4" t="n">
        <v>0.00101655</v>
      </c>
      <c r="AS36" s="4" t="n">
        <v>0.001010275</v>
      </c>
      <c r="AT36" s="4" t="n">
        <v>0.001004</v>
      </c>
      <c r="AU36" s="4" t="n">
        <v>0.00883</v>
      </c>
      <c r="AV36" s="4" t="n">
        <v>0.000702</v>
      </c>
      <c r="AW36" s="4" t="n">
        <v>0.00333</v>
      </c>
      <c r="AX36" s="4" t="n">
        <v>0.00714</v>
      </c>
      <c r="AY36" s="4" t="n">
        <v>0.000913</v>
      </c>
      <c r="AZ36" s="5" t="n">
        <v>0.00181</v>
      </c>
      <c r="BA36" s="5" t="n">
        <v>0.000808</v>
      </c>
      <c r="BB36" s="5" t="n">
        <v>0.000549</v>
      </c>
      <c r="BC36" s="5" t="n">
        <v>0.000231</v>
      </c>
      <c r="BD36" s="5" t="n">
        <v>0.01052</v>
      </c>
      <c r="BE36" s="5" t="n">
        <v>0.00342</v>
      </c>
      <c r="BF36" s="5" t="n">
        <v>0.0011748</v>
      </c>
      <c r="BG36" s="5" t="n">
        <f aca="false">BF36/(1-0.2)</f>
        <v>0.0014685</v>
      </c>
      <c r="BH36" s="5" t="n">
        <f aca="false">BF36/(1-0.25)</f>
        <v>0.0015664</v>
      </c>
      <c r="BI36" s="5" t="n">
        <v>0.0008395</v>
      </c>
      <c r="BJ36" s="5" t="n">
        <v>0.002716</v>
      </c>
      <c r="BK36" s="5" t="n">
        <v>0.000664</v>
      </c>
      <c r="BL36" s="5" t="n">
        <v>0.0018337</v>
      </c>
      <c r="BM36" s="5" t="n">
        <v>0.001723678</v>
      </c>
    </row>
    <row r="37" customFormat="false" ht="15.75" hidden="false" customHeight="true" outlineLevel="0" collapsed="false">
      <c r="A37" s="2" t="n">
        <v>35</v>
      </c>
      <c r="B37" s="2" t="n">
        <v>0.00260063</v>
      </c>
      <c r="C37" s="4" t="n">
        <v>0.002645712694</v>
      </c>
      <c r="D37" s="4" t="n">
        <v>0.00264571</v>
      </c>
      <c r="E37" s="4" t="n">
        <v>0.002964</v>
      </c>
      <c r="F37" s="4" t="n">
        <v>0.0029644</v>
      </c>
      <c r="G37" s="4" t="n">
        <v>0.00274207</v>
      </c>
      <c r="H37" s="4" t="n">
        <v>0.00254450752398248</v>
      </c>
      <c r="I37" s="4" t="n">
        <v>0.00261172</v>
      </c>
      <c r="J37" s="4" t="n">
        <v>0.0025856028</v>
      </c>
      <c r="K37" s="4" t="n">
        <v>0.00261172316672184</v>
      </c>
      <c r="L37" s="5" t="n">
        <v>0.00183798928251615</v>
      </c>
      <c r="M37" s="5" t="n">
        <f aca="false">L37/(1-0.19)</f>
        <v>0.0022691225710076</v>
      </c>
      <c r="N37" s="5" t="n">
        <f aca="false">L37/(1-0.183)</f>
        <v>0.0022496808843527</v>
      </c>
      <c r="O37" s="5" t="n">
        <v>0.00267130018863137</v>
      </c>
      <c r="P37" s="5" t="n">
        <v>0.00188403828315214</v>
      </c>
      <c r="Q37" s="5" t="n">
        <v>0.00273272003470298</v>
      </c>
      <c r="R37" s="5" t="n">
        <v>0.00266440203383541</v>
      </c>
      <c r="S37" s="4" t="n">
        <v>0.000704</v>
      </c>
      <c r="T37" s="4" t="n">
        <v>0.000792</v>
      </c>
      <c r="U37" s="4" t="n">
        <f aca="false">T37/(1-0.33)</f>
        <v>0.00118208955223881</v>
      </c>
      <c r="V37" s="4" t="n">
        <v>0.001391</v>
      </c>
      <c r="W37" s="4" t="n">
        <v>0.001391</v>
      </c>
      <c r="X37" s="4" t="n">
        <v>0.001273</v>
      </c>
      <c r="Y37" s="4" t="n">
        <v>0.00120935</v>
      </c>
      <c r="Z37" s="4" t="n">
        <v>0.000955</v>
      </c>
      <c r="AA37" s="4" t="n">
        <v>0.000931125</v>
      </c>
      <c r="AB37" s="4" t="n">
        <v>0.000917</v>
      </c>
      <c r="AC37" s="4" t="n">
        <v>0.0011698651</v>
      </c>
      <c r="AD37" s="4" t="n">
        <f aca="false">AC37/(1-0.1)</f>
        <v>0.00129985011111111</v>
      </c>
      <c r="AE37" s="4" t="n">
        <f aca="false">AC37/(1-0.15)</f>
        <v>0.00137631188235294</v>
      </c>
      <c r="AF37" s="4" t="n">
        <f aca="false">AC37/(1-0.2)</f>
        <v>0.001462331375</v>
      </c>
      <c r="AG37" s="4" t="n">
        <f aca="false">AC37/(1-0.24)</f>
        <v>0.00153929618421053</v>
      </c>
      <c r="AH37" s="4" t="n">
        <v>0.00285</v>
      </c>
      <c r="AI37" s="4" t="n">
        <v>0.001122</v>
      </c>
      <c r="AJ37" s="4" t="n">
        <v>0.00211</v>
      </c>
      <c r="AK37" s="4" t="n">
        <v>0.00179</v>
      </c>
      <c r="AL37" s="4" t="n">
        <v>0.001445</v>
      </c>
      <c r="AM37" s="4" t="n">
        <v>0.001444</v>
      </c>
      <c r="AN37" s="4" t="n">
        <v>0.001344</v>
      </c>
      <c r="AO37" s="4" t="n">
        <v>0.00112896</v>
      </c>
      <c r="AP37" s="4" t="n">
        <v>0.00111552</v>
      </c>
      <c r="AQ37" s="4" t="n">
        <v>0.00110208</v>
      </c>
      <c r="AR37" s="4" t="n">
        <v>0.00108864</v>
      </c>
      <c r="AS37" s="4" t="n">
        <v>0.00108192</v>
      </c>
      <c r="AT37" s="4" t="n">
        <v>0.0010752</v>
      </c>
      <c r="AU37" s="4" t="n">
        <v>0.00895</v>
      </c>
      <c r="AV37" s="4" t="n">
        <v>0.000773</v>
      </c>
      <c r="AW37" s="4" t="n">
        <v>0.003562</v>
      </c>
      <c r="AX37" s="4" t="n">
        <v>0.00729</v>
      </c>
      <c r="AY37" s="4" t="n">
        <v>0.000915</v>
      </c>
      <c r="AZ37" s="5" t="n">
        <v>0.00194</v>
      </c>
      <c r="BA37" s="5" t="n">
        <v>0.000789</v>
      </c>
      <c r="BB37" s="5" t="n">
        <v>0.000592</v>
      </c>
      <c r="BC37" s="5" t="n">
        <v>0.000253</v>
      </c>
      <c r="BD37" s="5" t="n">
        <v>0.01073</v>
      </c>
      <c r="BE37" s="5" t="n">
        <v>0.00363</v>
      </c>
      <c r="BF37" s="5" t="n">
        <v>0.0012103</v>
      </c>
      <c r="BG37" s="5" t="n">
        <f aca="false">BF37/(1-0.2)</f>
        <v>0.001512875</v>
      </c>
      <c r="BH37" s="5" t="n">
        <f aca="false">BF37/(1-0.25)</f>
        <v>0.00161373333333333</v>
      </c>
      <c r="BI37" s="5" t="n">
        <v>0.0008802</v>
      </c>
      <c r="BJ37" s="5" t="n">
        <v>0.002791</v>
      </c>
      <c r="BK37" s="5" t="n">
        <v>0.000722</v>
      </c>
      <c r="BL37" s="5" t="n">
        <v>0.00188396</v>
      </c>
      <c r="BM37" s="5" t="n">
        <v>0.0017709224</v>
      </c>
    </row>
    <row r="38" customFormat="false" ht="15.75" hidden="false" customHeight="true" outlineLevel="0" collapsed="false">
      <c r="A38" s="2" t="n">
        <v>36</v>
      </c>
      <c r="B38" s="2" t="n">
        <v>0.00269628</v>
      </c>
      <c r="C38" s="4" t="n">
        <v>0.002742927379</v>
      </c>
      <c r="D38" s="4" t="n">
        <v>0.00274293</v>
      </c>
      <c r="E38" s="4" t="n">
        <v>0.003041</v>
      </c>
      <c r="F38" s="4" t="n">
        <v>0.00304091</v>
      </c>
      <c r="G38" s="4" t="n">
        <v>0.00281284175</v>
      </c>
      <c r="H38" s="4" t="n">
        <v>0.0026409341070764</v>
      </c>
      <c r="I38" s="4" t="n">
        <v>0.0027107</v>
      </c>
      <c r="J38" s="4" t="n">
        <v>0.002683593</v>
      </c>
      <c r="K38" s="4" t="n">
        <v>0.00271070196936765</v>
      </c>
      <c r="L38" s="5" t="n">
        <v>0.00192039272112435</v>
      </c>
      <c r="M38" s="5" t="n">
        <f aca="false">L38/(1-0.19)</f>
        <v>0.00237085521126463</v>
      </c>
      <c r="N38" s="5" t="n">
        <f aca="false">L38/(1-0.183)</f>
        <v>0.00235054188632112</v>
      </c>
      <c r="O38" s="5" t="n">
        <v>0.00276982543086086</v>
      </c>
      <c r="P38" s="5" t="n">
        <v>0.001968584321183</v>
      </c>
      <c r="Q38" s="5" t="n">
        <v>0.00283727133492285</v>
      </c>
      <c r="R38" s="5" t="n">
        <v>0.00276633955154978</v>
      </c>
      <c r="S38" s="4" t="n">
        <v>0.000719</v>
      </c>
      <c r="T38" s="4" t="n">
        <v>0.000794</v>
      </c>
      <c r="U38" s="4" t="n">
        <f aca="false">T38/(1-0.33)</f>
        <v>0.00118507462686567</v>
      </c>
      <c r="V38" s="4" t="n">
        <v>0.001494</v>
      </c>
      <c r="W38" s="4" t="n">
        <v>0.001494</v>
      </c>
      <c r="X38" s="4" t="n">
        <v>0.001378</v>
      </c>
      <c r="Y38" s="4" t="n">
        <v>0.0013091</v>
      </c>
      <c r="Z38" s="4" t="n">
        <v>0.001008</v>
      </c>
      <c r="AA38" s="4" t="n">
        <v>0.0009828</v>
      </c>
      <c r="AB38" s="4" t="n">
        <v>0.000968</v>
      </c>
      <c r="AC38" s="4" t="n">
        <v>0.0012239656</v>
      </c>
      <c r="AD38" s="4" t="n">
        <f aca="false">AC38/(1-0.1)</f>
        <v>0.00135996177777778</v>
      </c>
      <c r="AE38" s="4" t="n">
        <f aca="false">AC38/(1-0.15)</f>
        <v>0.00143995952941176</v>
      </c>
      <c r="AF38" s="4" t="n">
        <f aca="false">AC38/(1-0.2)</f>
        <v>0.001529957</v>
      </c>
      <c r="AG38" s="4" t="n">
        <f aca="false">AC38/(1-0.24)</f>
        <v>0.00161048105263158</v>
      </c>
      <c r="AH38" s="4" t="n">
        <v>0.00302</v>
      </c>
      <c r="AI38" s="4" t="n">
        <v>0.001204</v>
      </c>
      <c r="AJ38" s="4" t="n">
        <v>0.00224</v>
      </c>
      <c r="AK38" s="4" t="n">
        <v>0.001911</v>
      </c>
      <c r="AL38" s="4" t="n">
        <v>0.001505</v>
      </c>
      <c r="AM38" s="4" t="n">
        <v>0.001501</v>
      </c>
      <c r="AN38" s="4" t="n">
        <v>0.001443</v>
      </c>
      <c r="AO38" s="4" t="n">
        <v>0.00121212</v>
      </c>
      <c r="AP38" s="4" t="n">
        <v>0.00119769</v>
      </c>
      <c r="AQ38" s="4" t="n">
        <v>0.00118326</v>
      </c>
      <c r="AR38" s="4" t="n">
        <v>0.00116883</v>
      </c>
      <c r="AS38" s="4" t="n">
        <v>0.001161615</v>
      </c>
      <c r="AT38" s="4" t="n">
        <v>0.0011544</v>
      </c>
      <c r="AU38" s="4" t="n">
        <v>0.00909</v>
      </c>
      <c r="AV38" s="4" t="n">
        <v>0.000841</v>
      </c>
      <c r="AW38" s="4" t="n">
        <v>0.003819</v>
      </c>
      <c r="AX38" s="4" t="n">
        <v>0.00747</v>
      </c>
      <c r="AY38" s="4" t="n">
        <v>0.000927</v>
      </c>
      <c r="AZ38" s="5" t="n">
        <v>0.00209</v>
      </c>
      <c r="BA38" s="5" t="n">
        <v>0.000783</v>
      </c>
      <c r="BB38" s="5" t="n">
        <v>0.000639</v>
      </c>
      <c r="BC38" s="5" t="n">
        <v>0.000277</v>
      </c>
      <c r="BD38" s="5" t="n">
        <v>0.01097</v>
      </c>
      <c r="BE38" s="5" t="n">
        <v>0.00386</v>
      </c>
      <c r="BF38" s="5" t="n">
        <v>0.0012596</v>
      </c>
      <c r="BG38" s="5" t="n">
        <f aca="false">BF38/(1-0.2)</f>
        <v>0.0015745</v>
      </c>
      <c r="BH38" s="5" t="n">
        <f aca="false">BF38/(1-0.25)</f>
        <v>0.00167946666666667</v>
      </c>
      <c r="BI38" s="5" t="n">
        <v>0.0009202</v>
      </c>
      <c r="BJ38" s="5" t="n">
        <v>0.002894</v>
      </c>
      <c r="BK38" s="5" t="n">
        <v>0.000785</v>
      </c>
      <c r="BL38" s="5" t="n">
        <v>0.00194137</v>
      </c>
      <c r="BM38" s="5" t="n">
        <v>0.0018248878</v>
      </c>
    </row>
    <row r="39" customFormat="false" ht="15.75" hidden="false" customHeight="true" outlineLevel="0" collapsed="false">
      <c r="A39" s="2" t="n">
        <v>37</v>
      </c>
      <c r="B39" s="2" t="n">
        <v>0.00281333</v>
      </c>
      <c r="C39" s="4" t="n">
        <v>0.002861826886</v>
      </c>
      <c r="D39" s="4" t="n">
        <v>0.00286183</v>
      </c>
      <c r="E39" s="4" t="n">
        <v>0.003133</v>
      </c>
      <c r="F39" s="4" t="n">
        <v>0.00313263</v>
      </c>
      <c r="G39" s="4" t="n">
        <v>0.00289768275</v>
      </c>
      <c r="H39" s="4" t="n">
        <v>0.00275129962967848</v>
      </c>
      <c r="I39" s="4" t="n">
        <v>0.00282248</v>
      </c>
      <c r="J39" s="4" t="n">
        <v>0.0027942552</v>
      </c>
      <c r="K39" s="4" t="n">
        <v>0.00282247669737962</v>
      </c>
      <c r="L39" s="5" t="n">
        <v>0.0020147368679465</v>
      </c>
      <c r="M39" s="5" t="n">
        <f aca="false">L39/(1-0.19)</f>
        <v>0.00248732946660062</v>
      </c>
      <c r="N39" s="5" t="n">
        <f aca="false">L39/(1-0.183)</f>
        <v>0.00246601819822094</v>
      </c>
      <c r="O39" s="5" t="n">
        <v>0.00288162313204848</v>
      </c>
      <c r="P39" s="5" t="n">
        <v>0.00206486979177288</v>
      </c>
      <c r="Q39" s="5" t="n">
        <v>0.00295355192889378</v>
      </c>
      <c r="R39" s="5" t="n">
        <v>0.00287971313067143</v>
      </c>
      <c r="S39" s="4" t="n">
        <v>0.000749</v>
      </c>
      <c r="T39" s="4" t="n">
        <v>0.000823</v>
      </c>
      <c r="U39" s="4" t="n">
        <f aca="false">T39/(1-0.33)</f>
        <v>0.00122835820895522</v>
      </c>
      <c r="V39" s="4" t="n">
        <v>0.001607</v>
      </c>
      <c r="W39" s="4" t="n">
        <v>0.001607</v>
      </c>
      <c r="X39" s="4" t="n">
        <v>0.001495</v>
      </c>
      <c r="Y39" s="4" t="n">
        <v>0.00142025</v>
      </c>
      <c r="Z39" s="4" t="n">
        <v>0.001073</v>
      </c>
      <c r="AA39" s="4" t="n">
        <v>0.001046175</v>
      </c>
      <c r="AB39" s="4" t="n">
        <v>0.001032</v>
      </c>
      <c r="AC39" s="4" t="n">
        <v>0.001289608</v>
      </c>
      <c r="AD39" s="4" t="n">
        <f aca="false">AC39/(1-0.1)</f>
        <v>0.00143289777777778</v>
      </c>
      <c r="AE39" s="4" t="n">
        <f aca="false">AC39/(1-0.15)</f>
        <v>0.00151718588235294</v>
      </c>
      <c r="AF39" s="4" t="n">
        <f aca="false">AC39/(1-0.2)</f>
        <v>0.00161201</v>
      </c>
      <c r="AG39" s="4" t="n">
        <f aca="false">AC39/(1-0.24)</f>
        <v>0.00169685263157895</v>
      </c>
      <c r="AH39" s="4" t="n">
        <v>0.00321</v>
      </c>
      <c r="AI39" s="4" t="n">
        <v>0.001295</v>
      </c>
      <c r="AJ39" s="4" t="n">
        <v>0.0024</v>
      </c>
      <c r="AK39" s="4" t="n">
        <v>0.002052</v>
      </c>
      <c r="AL39" s="4" t="n">
        <v>0.001575</v>
      </c>
      <c r="AM39" s="4" t="n">
        <v>0.001571</v>
      </c>
      <c r="AN39" s="4" t="n">
        <v>0.001551</v>
      </c>
      <c r="AO39" s="4" t="n">
        <v>0.00130284</v>
      </c>
      <c r="AP39" s="4" t="n">
        <v>0.00128733</v>
      </c>
      <c r="AQ39" s="4" t="n">
        <v>0.00127182</v>
      </c>
      <c r="AR39" s="4" t="n">
        <v>0.00125631</v>
      </c>
      <c r="AS39" s="4" t="n">
        <v>0.001248555</v>
      </c>
      <c r="AT39" s="4" t="n">
        <v>0.0012408</v>
      </c>
      <c r="AU39" s="4" t="n">
        <v>0.00923</v>
      </c>
      <c r="AV39" s="4" t="n">
        <v>0.000904</v>
      </c>
      <c r="AW39" s="4" t="n">
        <v>0.004101</v>
      </c>
      <c r="AX39" s="4" t="n">
        <v>0.00766</v>
      </c>
      <c r="AY39" s="4" t="n">
        <v>0.000958</v>
      </c>
      <c r="AZ39" s="5" t="n">
        <v>0.00228</v>
      </c>
      <c r="BA39" s="5" t="n">
        <v>0.0008</v>
      </c>
      <c r="BB39" s="5" t="n">
        <v>0.00069</v>
      </c>
      <c r="BC39" s="5" t="n">
        <v>0.000305</v>
      </c>
      <c r="BD39" s="5" t="n">
        <v>0.01124</v>
      </c>
      <c r="BE39" s="5" t="n">
        <v>0.00411</v>
      </c>
      <c r="BF39" s="5" t="n">
        <v>0.0013443</v>
      </c>
      <c r="BG39" s="5" t="n">
        <f aca="false">BF39/(1-0.2)</f>
        <v>0.001680375</v>
      </c>
      <c r="BH39" s="5" t="n">
        <f aca="false">BF39/(1-0.25)</f>
        <v>0.0017924</v>
      </c>
      <c r="BI39" s="5" t="n">
        <v>0.0009512</v>
      </c>
      <c r="BJ39" s="5" t="n">
        <v>0.002994</v>
      </c>
      <c r="BK39" s="5" t="n">
        <v>0.000855</v>
      </c>
      <c r="BL39" s="5" t="n">
        <v>0.00200696</v>
      </c>
      <c r="BM39" s="5" t="n">
        <v>0.0018865424</v>
      </c>
    </row>
    <row r="40" customFormat="false" ht="15.75" hidden="false" customHeight="true" outlineLevel="0" collapsed="false">
      <c r="A40" s="2" t="n">
        <v>38</v>
      </c>
      <c r="B40" s="2" t="n">
        <v>0.00294901</v>
      </c>
      <c r="C40" s="4" t="n">
        <v>0.002999582428</v>
      </c>
      <c r="D40" s="4" t="n">
        <v>0.00299958</v>
      </c>
      <c r="E40" s="4" t="n">
        <v>0.003241</v>
      </c>
      <c r="F40" s="4" t="n">
        <v>0.00324125</v>
      </c>
      <c r="G40" s="4" t="n">
        <v>0.00299815625</v>
      </c>
      <c r="H40" s="4" t="n">
        <v>0.00287628813723037</v>
      </c>
      <c r="I40" s="4" t="n">
        <v>0.00294731</v>
      </c>
      <c r="J40" s="4" t="n">
        <v>0.0029178369</v>
      </c>
      <c r="K40" s="4" t="n">
        <v>0.00294731122704314</v>
      </c>
      <c r="L40" s="5" t="n">
        <v>0.00212223212325671</v>
      </c>
      <c r="M40" s="5" t="n">
        <f aca="false">L40/(1-0.19)</f>
        <v>0.00262003965834162</v>
      </c>
      <c r="N40" s="5" t="n">
        <f aca="false">L40/(1-0.183)</f>
        <v>0.00259759133813551</v>
      </c>
      <c r="O40" s="5" t="n">
        <v>0.00300722351044491</v>
      </c>
      <c r="P40" s="5" t="n">
        <v>0.00217402542267301</v>
      </c>
      <c r="Q40" s="5" t="n">
        <v>0.00308115845492038</v>
      </c>
      <c r="R40" s="5" t="n">
        <v>0.00300412949354737</v>
      </c>
      <c r="S40" s="4" t="n">
        <v>0.000796</v>
      </c>
      <c r="T40" s="4" t="n">
        <v>0.000872</v>
      </c>
      <c r="U40" s="4" t="n">
        <f aca="false">T40/(1-0.33)</f>
        <v>0.00130149253731343</v>
      </c>
      <c r="V40" s="4" t="n">
        <v>0.001733</v>
      </c>
      <c r="W40" s="4" t="n">
        <v>0.001733</v>
      </c>
      <c r="X40" s="4" t="n">
        <v>0.001624</v>
      </c>
      <c r="Y40" s="4" t="n">
        <v>0.0015428</v>
      </c>
      <c r="Z40" s="4" t="n">
        <v>0.001154</v>
      </c>
      <c r="AA40" s="4" t="n">
        <v>0.00112515</v>
      </c>
      <c r="AB40" s="4" t="n">
        <v>0.001114</v>
      </c>
      <c r="AC40" s="4" t="n">
        <v>0.0013672425</v>
      </c>
      <c r="AD40" s="4" t="n">
        <f aca="false">AC40/(1-0.1)</f>
        <v>0.00151915833333333</v>
      </c>
      <c r="AE40" s="4" t="n">
        <f aca="false">AC40/(1-0.15)</f>
        <v>0.00160852058823529</v>
      </c>
      <c r="AF40" s="4" t="n">
        <f aca="false">AC40/(1-0.2)</f>
        <v>0.001709053125</v>
      </c>
      <c r="AG40" s="4" t="n">
        <f aca="false">AC40/(1-0.24)</f>
        <v>0.00179900328947368</v>
      </c>
      <c r="AH40" s="4" t="n">
        <v>0.00345</v>
      </c>
      <c r="AI40" s="4" t="n">
        <v>0.001397</v>
      </c>
      <c r="AJ40" s="4" t="n">
        <v>0.00258</v>
      </c>
      <c r="AK40" s="4" t="n">
        <v>0.002217</v>
      </c>
      <c r="AL40" s="4" t="n">
        <v>0.001659</v>
      </c>
      <c r="AM40" s="4" t="n">
        <v>0.001654</v>
      </c>
      <c r="AN40" s="4" t="n">
        <v>0.00167</v>
      </c>
      <c r="AO40" s="4" t="n">
        <v>0.0014028</v>
      </c>
      <c r="AP40" s="4" t="n">
        <v>0.0013861</v>
      </c>
      <c r="AQ40" s="4" t="n">
        <v>0.0013694</v>
      </c>
      <c r="AR40" s="4" t="n">
        <v>0.0013527</v>
      </c>
      <c r="AS40" s="4" t="n">
        <v>0.00134435</v>
      </c>
      <c r="AT40" s="4" t="n">
        <v>0.001336</v>
      </c>
      <c r="AU40" s="4" t="n">
        <v>0.00941</v>
      </c>
      <c r="AV40" s="4" t="n">
        <v>0.000964</v>
      </c>
      <c r="AW40" s="4" t="n">
        <v>0.004412</v>
      </c>
      <c r="AX40" s="4" t="n">
        <v>0.00786</v>
      </c>
      <c r="AY40" s="4" t="n">
        <v>0.00101</v>
      </c>
      <c r="AZ40" s="5" t="n">
        <v>0.00249</v>
      </c>
      <c r="BA40" s="5" t="n">
        <v>0.000837</v>
      </c>
      <c r="BB40" s="5" t="n">
        <v>0.000746</v>
      </c>
      <c r="BC40" s="5" t="n">
        <v>0.000337</v>
      </c>
      <c r="BD40" s="5" t="n">
        <v>0.01152</v>
      </c>
      <c r="BE40" s="5" t="n">
        <v>0.00438</v>
      </c>
      <c r="BF40" s="5" t="n">
        <v>0.0014038</v>
      </c>
      <c r="BG40" s="5" t="n">
        <f aca="false">BF40/(1-0.2)</f>
        <v>0.00175475</v>
      </c>
      <c r="BH40" s="5" t="n">
        <f aca="false">BF40/(1-0.25)</f>
        <v>0.00187173333333333</v>
      </c>
      <c r="BI40" s="5" t="n">
        <v>0.0009876</v>
      </c>
      <c r="BJ40" s="5" t="n">
        <v>0.003091</v>
      </c>
      <c r="BK40" s="5" t="n">
        <v>0.000933</v>
      </c>
      <c r="BL40" s="5" t="n">
        <v>0.00208189</v>
      </c>
      <c r="BM40" s="5" t="n">
        <v>0.0019569766</v>
      </c>
    </row>
    <row r="41" customFormat="false" ht="15.75" hidden="false" customHeight="true" outlineLevel="0" collapsed="false">
      <c r="A41" s="2" t="n">
        <v>39</v>
      </c>
      <c r="B41" s="2" t="n">
        <v>0.0031004</v>
      </c>
      <c r="C41" s="4" t="n">
        <v>0.003153212282</v>
      </c>
      <c r="D41" s="4" t="n">
        <v>0.00315321</v>
      </c>
      <c r="E41" s="4" t="n">
        <v>0.00337</v>
      </c>
      <c r="F41" s="4" t="n">
        <v>0.00336955</v>
      </c>
      <c r="G41" s="4" t="n">
        <v>0.00311683375</v>
      </c>
      <c r="H41" s="4" t="n">
        <v>0.00301795636312516</v>
      </c>
      <c r="I41" s="4" t="n">
        <v>0.00308781</v>
      </c>
      <c r="J41" s="4" t="n">
        <v>0.0030569319</v>
      </c>
      <c r="K41" s="4" t="n">
        <v>0.00308780875888839</v>
      </c>
      <c r="L41" s="5" t="n">
        <v>0.00224438879956412</v>
      </c>
      <c r="M41" s="5" t="n">
        <f aca="false">L41/(1-0.19)</f>
        <v>0.00277085036983224</v>
      </c>
      <c r="N41" s="5" t="n">
        <f aca="false">L41/(1-0.183)</f>
        <v>0.00274710991378717</v>
      </c>
      <c r="O41" s="5" t="n">
        <v>0.00314920461267206</v>
      </c>
      <c r="P41" s="5" t="n">
        <v>0.00229771347911624</v>
      </c>
      <c r="Q41" s="5" t="n">
        <v>0.00322346433581422</v>
      </c>
      <c r="R41" s="5" t="n">
        <v>0.00314287772741886</v>
      </c>
      <c r="S41" s="4" t="n">
        <v>0.000864</v>
      </c>
      <c r="T41" s="4" t="n">
        <v>0.000945</v>
      </c>
      <c r="U41" s="4" t="n">
        <f aca="false">T41/(1-0.33)</f>
        <v>0.00141044776119403</v>
      </c>
      <c r="V41" s="4" t="n">
        <v>0.001872</v>
      </c>
      <c r="W41" s="4" t="n">
        <v>0.001872</v>
      </c>
      <c r="X41" s="4" t="n">
        <v>0.001767</v>
      </c>
      <c r="Y41" s="4" t="n">
        <v>0.00167865</v>
      </c>
      <c r="Z41" s="4" t="n">
        <v>0.001253</v>
      </c>
      <c r="AA41" s="4" t="n">
        <v>0.001221675</v>
      </c>
      <c r="AB41" s="4" t="n">
        <v>0.001216</v>
      </c>
      <c r="AC41" s="4" t="n">
        <v>0.0014575733</v>
      </c>
      <c r="AD41" s="4" t="n">
        <f aca="false">AC41/(1-0.1)</f>
        <v>0.00161952588888889</v>
      </c>
      <c r="AE41" s="4" t="n">
        <f aca="false">AC41/(1-0.15)</f>
        <v>0.00171479211764706</v>
      </c>
      <c r="AF41" s="4" t="n">
        <f aca="false">AC41/(1-0.2)</f>
        <v>0.001821966625</v>
      </c>
      <c r="AG41" s="4" t="n">
        <f aca="false">AC41/(1-0.24)</f>
        <v>0.00191785960526316</v>
      </c>
      <c r="AH41" s="4" t="n">
        <v>0.00372</v>
      </c>
      <c r="AI41" s="4" t="n">
        <v>0.001509</v>
      </c>
      <c r="AJ41" s="4" t="n">
        <v>0.00279</v>
      </c>
      <c r="AK41" s="4" t="n">
        <v>0.002407</v>
      </c>
      <c r="AL41" s="4" t="n">
        <v>0.001757</v>
      </c>
      <c r="AM41" s="4" t="n">
        <v>0.00175</v>
      </c>
      <c r="AN41" s="4" t="n">
        <v>0.001803</v>
      </c>
      <c r="AO41" s="4" t="n">
        <v>0.00151452</v>
      </c>
      <c r="AP41" s="4" t="n">
        <v>0.00149649</v>
      </c>
      <c r="AQ41" s="4" t="n">
        <v>0.00147846</v>
      </c>
      <c r="AR41" s="4" t="n">
        <v>0.00146043</v>
      </c>
      <c r="AS41" s="4" t="n">
        <v>0.001451415</v>
      </c>
      <c r="AT41" s="4" t="n">
        <v>0.0014424</v>
      </c>
      <c r="AU41" s="4" t="n">
        <v>0.00959</v>
      </c>
      <c r="AV41" s="4" t="n">
        <v>0.001021</v>
      </c>
      <c r="AW41" s="4" t="n">
        <v>0.004755</v>
      </c>
      <c r="AX41" s="4" t="n">
        <v>0.00809</v>
      </c>
      <c r="AY41" s="4" t="n">
        <v>0.001075</v>
      </c>
      <c r="AZ41" s="5" t="n">
        <v>0.00273</v>
      </c>
      <c r="BA41" s="5" t="n">
        <v>0.000889</v>
      </c>
      <c r="BB41" s="5" t="n">
        <v>0.000808</v>
      </c>
      <c r="BC41" s="5" t="n">
        <v>0.000372</v>
      </c>
      <c r="BD41" s="5" t="n">
        <v>0.01184</v>
      </c>
      <c r="BE41" s="5" t="n">
        <v>0.00467</v>
      </c>
      <c r="BF41" s="5" t="n">
        <v>0.001458</v>
      </c>
      <c r="BG41" s="5" t="n">
        <f aca="false">BF41/(1-0.2)</f>
        <v>0.0018225</v>
      </c>
      <c r="BH41" s="5" t="n">
        <f aca="false">BF41/(1-0.25)</f>
        <v>0.001944</v>
      </c>
      <c r="BI41" s="5" t="n">
        <v>0.0010291</v>
      </c>
      <c r="BJ41" s="5" t="n">
        <v>0.003217</v>
      </c>
      <c r="BK41" s="5" t="n">
        <v>0.00102</v>
      </c>
      <c r="BL41" s="5" t="n">
        <v>0.0021675</v>
      </c>
      <c r="BM41" s="5" t="n">
        <v>0.00203745</v>
      </c>
    </row>
    <row r="42" customFormat="false" ht="15.75" hidden="false" customHeight="true" outlineLevel="0" collapsed="false">
      <c r="A42" s="2" t="n">
        <v>40</v>
      </c>
      <c r="B42" s="2" t="n">
        <v>0.00326532</v>
      </c>
      <c r="C42" s="4" t="n">
        <v>0.00332044832</v>
      </c>
      <c r="D42" s="4" t="n">
        <v>0.00332045</v>
      </c>
      <c r="E42" s="4" t="n">
        <v>0.003522</v>
      </c>
      <c r="F42" s="4" t="n">
        <v>0.00352213</v>
      </c>
      <c r="G42" s="4" t="n">
        <v>0.00325797025</v>
      </c>
      <c r="H42" s="4" t="n">
        <v>0.00317755297462137</v>
      </c>
      <c r="I42" s="4" t="n">
        <v>0.00324596</v>
      </c>
      <c r="J42" s="4" t="n">
        <v>0.0032135004</v>
      </c>
      <c r="K42" s="4" t="n">
        <v>0.00324596021293009</v>
      </c>
      <c r="L42" s="5" t="n">
        <v>0.00238025197634302</v>
      </c>
      <c r="M42" s="5" t="n">
        <f aca="false">L42/(1-0.19)</f>
        <v>0.00293858268684323</v>
      </c>
      <c r="N42" s="5" t="n">
        <f aca="false">L42/(1-0.183)</f>
        <v>0.00291340511180296</v>
      </c>
      <c r="O42" s="5" t="n">
        <v>0.00330917987494992</v>
      </c>
      <c r="P42" s="5" t="n">
        <v>0.00243513279623225</v>
      </c>
      <c r="Q42" s="5" t="n">
        <v>0.0033834434541421</v>
      </c>
      <c r="R42" s="5" t="n">
        <v>0.00329885736778854</v>
      </c>
      <c r="S42" s="4" t="n">
        <v>0.000953</v>
      </c>
      <c r="T42" s="4" t="n">
        <v>0.001043</v>
      </c>
      <c r="U42" s="4" t="n">
        <f aca="false">T42/(1-0.33)</f>
        <v>0.00155671641791045</v>
      </c>
      <c r="V42" s="4" t="n">
        <v>0.002025</v>
      </c>
      <c r="W42" s="4" t="n">
        <v>0.002025</v>
      </c>
      <c r="X42" s="4" t="n">
        <v>0.001925</v>
      </c>
      <c r="Y42" s="4" t="n">
        <v>0.00182875</v>
      </c>
      <c r="Z42" s="4" t="n">
        <v>0.001375</v>
      </c>
      <c r="AA42" s="4" t="n">
        <v>0.001340625</v>
      </c>
      <c r="AB42" s="4" t="n">
        <v>0.001341</v>
      </c>
      <c r="AC42" s="4" t="n">
        <v>0.0015612104</v>
      </c>
      <c r="AD42" s="4" t="n">
        <f aca="false">AC42/(1-0.1)</f>
        <v>0.00173467822222222</v>
      </c>
      <c r="AE42" s="4" t="n">
        <f aca="false">AC42/(1-0.15)</f>
        <v>0.00183671811764706</v>
      </c>
      <c r="AF42" s="4" t="n">
        <f aca="false">AC42/(1-0.2)</f>
        <v>0.001951513</v>
      </c>
      <c r="AG42" s="4" t="n">
        <f aca="false">AC42/(1-0.24)</f>
        <v>0.00205422421052632</v>
      </c>
      <c r="AH42" s="4" t="n">
        <v>0.00402</v>
      </c>
      <c r="AI42" s="4" t="n">
        <v>0.001633</v>
      </c>
      <c r="AJ42" s="4" t="n">
        <v>0.00302</v>
      </c>
      <c r="AK42" s="4" t="n">
        <v>0.002624</v>
      </c>
      <c r="AL42" s="4" t="n">
        <v>0.001869</v>
      </c>
      <c r="AM42" s="4" t="n">
        <v>0.001862</v>
      </c>
      <c r="AN42" s="4" t="n">
        <v>0.001949</v>
      </c>
      <c r="AO42" s="4" t="n">
        <v>0.00163716</v>
      </c>
      <c r="AP42" s="4" t="n">
        <v>0.00161767</v>
      </c>
      <c r="AQ42" s="4" t="n">
        <v>0.00159818</v>
      </c>
      <c r="AR42" s="4" t="n">
        <v>0.00157869</v>
      </c>
      <c r="AS42" s="4" t="n">
        <v>0.001568945</v>
      </c>
      <c r="AT42" s="4" t="n">
        <v>0.0015592</v>
      </c>
      <c r="AU42" s="4" t="n">
        <v>0.00979</v>
      </c>
      <c r="AV42" s="4" t="n">
        <v>0.001079</v>
      </c>
      <c r="AW42" s="4" t="n">
        <v>0.005133</v>
      </c>
      <c r="AX42" s="4" t="n">
        <v>0.00834</v>
      </c>
      <c r="AY42" s="4" t="n">
        <v>0.001153</v>
      </c>
      <c r="AZ42" s="5" t="n">
        <v>0.003</v>
      </c>
      <c r="BA42" s="5" t="n">
        <v>0.000955</v>
      </c>
      <c r="BB42" s="5" t="n">
        <v>0.000878</v>
      </c>
      <c r="BC42" s="5" t="n">
        <v>0.00041</v>
      </c>
      <c r="BD42" s="5" t="n">
        <v>0.01218</v>
      </c>
      <c r="BE42" s="5" t="n">
        <v>0.00498</v>
      </c>
      <c r="BF42" s="5" t="n">
        <v>0.0015362</v>
      </c>
      <c r="BG42" s="5" t="n">
        <f aca="false">BF42/(1-0.2)</f>
        <v>0.00192025</v>
      </c>
      <c r="BH42" s="5" t="n">
        <f aca="false">BF42/(1-0.25)</f>
        <v>0.00204826666666667</v>
      </c>
      <c r="BI42" s="5" t="n">
        <v>0.0010883</v>
      </c>
      <c r="BJ42" s="5" t="n">
        <v>0.003353</v>
      </c>
      <c r="BK42" s="5" t="n">
        <v>0.001115</v>
      </c>
      <c r="BL42" s="5" t="n">
        <v>0.0022653</v>
      </c>
      <c r="BM42" s="5" t="n">
        <v>0.002129382</v>
      </c>
    </row>
    <row r="43" customFormat="false" ht="15.75" hidden="false" customHeight="true" outlineLevel="0" collapsed="false">
      <c r="A43" s="2" t="n">
        <v>41</v>
      </c>
      <c r="B43" s="2" t="n">
        <v>0.00344181</v>
      </c>
      <c r="C43" s="4" t="n">
        <v>0.003499284288</v>
      </c>
      <c r="D43" s="4" t="n">
        <v>0.00349928</v>
      </c>
      <c r="E43" s="4" t="n">
        <v>0.003705</v>
      </c>
      <c r="F43" s="4" t="n">
        <v>0.00370468</v>
      </c>
      <c r="G43" s="4" t="n">
        <v>0.003426829</v>
      </c>
      <c r="H43" s="4" t="n">
        <v>0.00335868029619022</v>
      </c>
      <c r="I43" s="4" t="n">
        <v>0.00342635</v>
      </c>
      <c r="J43" s="4" t="n">
        <v>0.0033920865</v>
      </c>
      <c r="K43" s="4" t="n">
        <v>0.00342635128325739</v>
      </c>
      <c r="L43" s="5" t="n">
        <v>0.00253348070036485</v>
      </c>
      <c r="M43" s="5" t="n">
        <f aca="false">L43/(1-0.19)</f>
        <v>0.00312775395106772</v>
      </c>
      <c r="N43" s="5" t="n">
        <f aca="false">L43/(1-0.183)</f>
        <v>0.00310095556960202</v>
      </c>
      <c r="O43" s="5" t="n">
        <v>0.0034918118858802</v>
      </c>
      <c r="P43" s="5" t="n">
        <v>0.00259023329505666</v>
      </c>
      <c r="Q43" s="5" t="n">
        <v>0.00356716705889351</v>
      </c>
      <c r="R43" s="5" t="n">
        <v>0.00347798788242117</v>
      </c>
      <c r="S43" s="4" t="n">
        <v>0.001065</v>
      </c>
      <c r="T43" s="4" t="n">
        <v>0.001168</v>
      </c>
      <c r="U43" s="4" t="n">
        <f aca="false">T43/(1-0.33)</f>
        <v>0.00174328358208955</v>
      </c>
      <c r="V43" s="4" t="n">
        <v>0.00222</v>
      </c>
      <c r="W43" s="4" t="n">
        <v>0.00222</v>
      </c>
      <c r="X43" s="4" t="n">
        <v>0.002099</v>
      </c>
      <c r="Y43" s="4" t="n">
        <v>0.00199405</v>
      </c>
      <c r="Z43" s="4" t="n">
        <v>0.001522</v>
      </c>
      <c r="AA43" s="4" t="n">
        <v>0.00148395</v>
      </c>
      <c r="AB43" s="4" t="n">
        <v>0.001492</v>
      </c>
      <c r="AC43" s="4" t="n">
        <v>0.0016790018</v>
      </c>
      <c r="AD43" s="4" t="n">
        <f aca="false">AC43/(1-0.1)</f>
        <v>0.00186555755555556</v>
      </c>
      <c r="AE43" s="4" t="n">
        <f aca="false">AC43/(1-0.15)</f>
        <v>0.00197529623529412</v>
      </c>
      <c r="AF43" s="4" t="n">
        <f aca="false">AC43/(1-0.2)</f>
        <v>0.00209875225</v>
      </c>
      <c r="AG43" s="4" t="n">
        <f aca="false">AC43/(1-0.24)</f>
        <v>0.00220921289473684</v>
      </c>
      <c r="AH43" s="4" t="n">
        <v>0.00437</v>
      </c>
      <c r="AI43" s="4" t="n">
        <v>0.001789</v>
      </c>
      <c r="AJ43" s="4" t="n">
        <v>0.00329</v>
      </c>
      <c r="AK43" s="4" t="n">
        <v>0.002871</v>
      </c>
      <c r="AL43" s="4" t="n">
        <v>0.001998</v>
      </c>
      <c r="AM43" s="4" t="n">
        <v>0.00199</v>
      </c>
      <c r="AN43" s="4" t="n">
        <v>0.002123</v>
      </c>
      <c r="AO43" s="4" t="n">
        <v>0.00178332</v>
      </c>
      <c r="AP43" s="4" t="n">
        <v>0.00176209</v>
      </c>
      <c r="AQ43" s="4" t="n">
        <v>0.00174086</v>
      </c>
      <c r="AR43" s="4" t="n">
        <v>0.00171963</v>
      </c>
      <c r="AS43" s="4" t="n">
        <v>0.001709015</v>
      </c>
      <c r="AT43" s="4" t="n">
        <v>0.0016984</v>
      </c>
      <c r="AU43" s="4" t="n">
        <v>0.01001</v>
      </c>
      <c r="AV43" s="4" t="n">
        <v>0.001142</v>
      </c>
      <c r="AW43" s="4" t="n">
        <v>0.005549</v>
      </c>
      <c r="AX43" s="4" t="n">
        <v>0.00862</v>
      </c>
      <c r="AY43" s="4" t="n">
        <v>0.001243</v>
      </c>
      <c r="AZ43" s="5" t="n">
        <v>0.0033</v>
      </c>
      <c r="BA43" s="5" t="n">
        <v>0.001029</v>
      </c>
      <c r="BB43" s="5" t="n">
        <v>0.000955</v>
      </c>
      <c r="BC43" s="5" t="n">
        <v>0.00045</v>
      </c>
      <c r="BD43" s="5" t="n">
        <v>0.01257</v>
      </c>
      <c r="BE43" s="5" t="n">
        <v>0.00531</v>
      </c>
      <c r="BF43" s="5" t="n">
        <v>0.001643</v>
      </c>
      <c r="BG43" s="5" t="n">
        <f aca="false">BF43/(1-0.2)</f>
        <v>0.00205375</v>
      </c>
      <c r="BH43" s="5" t="n">
        <f aca="false">BF43/(1-0.25)</f>
        <v>0.00219066666666667</v>
      </c>
      <c r="BI43" s="5" t="n">
        <v>0.0011563</v>
      </c>
      <c r="BJ43" s="5" t="n">
        <v>0.003499</v>
      </c>
      <c r="BK43" s="5" t="n">
        <v>0.001221</v>
      </c>
      <c r="BL43" s="5" t="n">
        <v>0.00237702</v>
      </c>
      <c r="BM43" s="5" t="n">
        <v>0.0022343988</v>
      </c>
    </row>
    <row r="44" customFormat="false" ht="15.75" hidden="false" customHeight="true" outlineLevel="0" collapsed="false">
      <c r="A44" s="2" t="n">
        <v>42</v>
      </c>
      <c r="B44" s="2" t="n">
        <v>0.00362939</v>
      </c>
      <c r="C44" s="4" t="n">
        <v>0.003689193637</v>
      </c>
      <c r="D44" s="4" t="n">
        <v>0.00368919</v>
      </c>
      <c r="E44" s="4" t="n">
        <v>0.003921</v>
      </c>
      <c r="F44" s="4" t="n">
        <v>0.0039213</v>
      </c>
      <c r="G44" s="4" t="n">
        <v>0.0036272025</v>
      </c>
      <c r="H44" s="4" t="n">
        <v>0.00356551940036055</v>
      </c>
      <c r="I44" s="4" t="n">
        <v>0.00363368</v>
      </c>
      <c r="J44" s="4" t="n">
        <v>0.0035973432</v>
      </c>
      <c r="K44" s="4" t="n">
        <v>0.00363367579064241</v>
      </c>
      <c r="L44" s="5" t="n">
        <v>0.00271031772398733</v>
      </c>
      <c r="M44" s="5" t="n">
        <f aca="false">L44/(1-0.19)</f>
        <v>0.00334607126418188</v>
      </c>
      <c r="N44" s="5" t="n">
        <f aca="false">L44/(1-0.183)</f>
        <v>0.00331740235494165</v>
      </c>
      <c r="O44" s="5" t="n">
        <v>0.00370233286011052</v>
      </c>
      <c r="P44" s="5" t="n">
        <v>0.00276948488312495</v>
      </c>
      <c r="Q44" s="5" t="n">
        <v>0.00378020190100635</v>
      </c>
      <c r="R44" s="5" t="n">
        <v>0.00368569685348119</v>
      </c>
      <c r="S44" s="4" t="n">
        <v>0.001201</v>
      </c>
      <c r="T44" s="4" t="n">
        <v>0.001322</v>
      </c>
      <c r="U44" s="4" t="n">
        <f aca="false">T44/(1-0.33)</f>
        <v>0.00197313432835821</v>
      </c>
      <c r="V44" s="4" t="n">
        <v>0.002481</v>
      </c>
      <c r="W44" s="4" t="n">
        <v>0.002481</v>
      </c>
      <c r="X44" s="4" t="n">
        <v>0.00229</v>
      </c>
      <c r="Y44" s="4" t="n">
        <v>0.0021755</v>
      </c>
      <c r="Z44" s="4" t="n">
        <v>0.001697</v>
      </c>
      <c r="AA44" s="4" t="n">
        <v>0.001654575</v>
      </c>
      <c r="AB44" s="4" t="n">
        <v>0.001673</v>
      </c>
      <c r="AC44" s="4" t="n">
        <v>0.0018117265</v>
      </c>
      <c r="AD44" s="4" t="n">
        <f aca="false">AC44/(1-0.1)</f>
        <v>0.00201302944444444</v>
      </c>
      <c r="AE44" s="4" t="n">
        <f aca="false">AC44/(1-0.15)</f>
        <v>0.00213144294117647</v>
      </c>
      <c r="AF44" s="4" t="n">
        <f aca="false">AC44/(1-0.2)</f>
        <v>0.002264658125</v>
      </c>
      <c r="AG44" s="4" t="n">
        <f aca="false">AC44/(1-0.24)</f>
        <v>0.00238385065789474</v>
      </c>
      <c r="AH44" s="4" t="n">
        <v>0.00475</v>
      </c>
      <c r="AI44" s="4" t="n">
        <v>0.002</v>
      </c>
      <c r="AJ44" s="4" t="n">
        <v>0.00356</v>
      </c>
      <c r="AK44" s="4" t="n">
        <v>0.00315</v>
      </c>
      <c r="AL44" s="4" t="n">
        <v>0.002145</v>
      </c>
      <c r="AM44" s="4" t="n">
        <v>0.002135</v>
      </c>
      <c r="AN44" s="4" t="n">
        <v>0.002351</v>
      </c>
      <c r="AO44" s="4" t="n">
        <v>0.00197484</v>
      </c>
      <c r="AP44" s="4" t="n">
        <v>0.00195133</v>
      </c>
      <c r="AQ44" s="4" t="n">
        <v>0.00192782</v>
      </c>
      <c r="AR44" s="4" t="n">
        <v>0.00190431</v>
      </c>
      <c r="AS44" s="4" t="n">
        <v>0.001892555</v>
      </c>
      <c r="AT44" s="4" t="n">
        <v>0.0018808</v>
      </c>
      <c r="AU44" s="4" t="n">
        <v>0.01025</v>
      </c>
      <c r="AV44" s="4" t="n">
        <v>0.001215</v>
      </c>
      <c r="AW44" s="4" t="n">
        <v>0.006007</v>
      </c>
      <c r="AX44" s="4" t="n">
        <v>0.00893</v>
      </c>
      <c r="AY44" s="4" t="n">
        <v>0.001346</v>
      </c>
      <c r="AZ44" s="5" t="n">
        <v>0.00362</v>
      </c>
      <c r="BA44" s="5" t="n">
        <v>0.00111</v>
      </c>
      <c r="BB44" s="5" t="n">
        <v>0.001041</v>
      </c>
      <c r="BC44" s="5" t="n">
        <v>0.000494</v>
      </c>
      <c r="BD44" s="5" t="n">
        <v>0.013</v>
      </c>
      <c r="BE44" s="5" t="n">
        <v>0.00566</v>
      </c>
      <c r="BF44" s="5" t="n">
        <v>0.0017815</v>
      </c>
      <c r="BG44" s="5" t="n">
        <f aca="false">BF44/(1-0.2)</f>
        <v>0.002226875</v>
      </c>
      <c r="BH44" s="5" t="n">
        <f aca="false">BF44/(1-0.25)</f>
        <v>0.00237533333333333</v>
      </c>
      <c r="BI44" s="5" t="n">
        <v>0.0012443</v>
      </c>
      <c r="BJ44" s="5" t="n">
        <v>0.003642</v>
      </c>
      <c r="BK44" s="5" t="n">
        <v>0.001338</v>
      </c>
      <c r="BL44" s="5" t="n">
        <v>0.00250465</v>
      </c>
      <c r="BM44" s="5" t="n">
        <v>0.002354371</v>
      </c>
    </row>
    <row r="45" customFormat="false" ht="15.75" hidden="false" customHeight="true" outlineLevel="0" collapsed="false">
      <c r="A45" s="2" t="n">
        <v>43</v>
      </c>
      <c r="B45" s="2" t="n">
        <v>0.00382857</v>
      </c>
      <c r="C45" s="4" t="n">
        <v>0.003890681725</v>
      </c>
      <c r="D45" s="4" t="n">
        <v>0.00389068</v>
      </c>
      <c r="E45" s="4" t="n">
        <v>0.004175</v>
      </c>
      <c r="F45" s="4" t="n">
        <v>0.00417495</v>
      </c>
      <c r="G45" s="4" t="n">
        <v>0.00386182875</v>
      </c>
      <c r="H45" s="4" t="n">
        <v>0.00380103944252773</v>
      </c>
      <c r="I45" s="4" t="n">
        <v>0.00387144</v>
      </c>
      <c r="J45" s="4" t="n">
        <v>0.0038327256</v>
      </c>
      <c r="K45" s="4" t="n">
        <v>0.00387143735518174</v>
      </c>
      <c r="L45" s="5" t="n">
        <v>0.00291407536950093</v>
      </c>
      <c r="M45" s="5" t="n">
        <f aca="false">L45/(1-0.19)</f>
        <v>0.00359762391296411</v>
      </c>
      <c r="N45" s="5" t="n">
        <f aca="false">L45/(1-0.183)</f>
        <v>0.0035667997178714</v>
      </c>
      <c r="O45" s="5" t="n">
        <v>0.0039444393512407</v>
      </c>
      <c r="P45" s="5" t="n">
        <v>0.00297638078318467</v>
      </c>
      <c r="Q45" s="5" t="n">
        <v>0.00402686635851128</v>
      </c>
      <c r="R45" s="5" t="n">
        <v>0.0039261946995485</v>
      </c>
      <c r="S45" s="4" t="n">
        <v>0.001362</v>
      </c>
      <c r="T45" s="4" t="n">
        <v>0.001505</v>
      </c>
      <c r="U45" s="4" t="n">
        <f aca="false">T45/(1-0.33)</f>
        <v>0.00224626865671642</v>
      </c>
      <c r="V45" s="4" t="n">
        <v>0.002804</v>
      </c>
      <c r="W45" s="4" t="n">
        <v>0.002804</v>
      </c>
      <c r="X45" s="4" t="n">
        <v>0.002499</v>
      </c>
      <c r="Y45" s="4" t="n">
        <v>0.00237405</v>
      </c>
      <c r="Z45" s="4" t="n">
        <v>0.001905</v>
      </c>
      <c r="AA45" s="4" t="n">
        <v>0.001857375</v>
      </c>
      <c r="AB45" s="4" t="n">
        <v>0.001886</v>
      </c>
      <c r="AC45" s="4" t="n">
        <v>0.0019604799</v>
      </c>
      <c r="AD45" s="4" t="n">
        <f aca="false">AC45/(1-0.1)</f>
        <v>0.002178311</v>
      </c>
      <c r="AE45" s="4" t="n">
        <f aca="false">AC45/(1-0.15)</f>
        <v>0.00230644694117647</v>
      </c>
      <c r="AF45" s="4" t="n">
        <f aca="false">AC45/(1-0.2)</f>
        <v>0.002450599875</v>
      </c>
      <c r="AG45" s="4" t="n">
        <f aca="false">AC45/(1-0.24)</f>
        <v>0.00257957881578947</v>
      </c>
      <c r="AH45" s="4" t="n">
        <v>0.00518</v>
      </c>
      <c r="AI45" s="4" t="n">
        <v>0.00226</v>
      </c>
      <c r="AJ45" s="4" t="n">
        <v>0.00387</v>
      </c>
      <c r="AK45" s="4" t="n">
        <v>0.003464</v>
      </c>
      <c r="AL45" s="4" t="n">
        <v>0.00231</v>
      </c>
      <c r="AM45" s="4" t="n">
        <v>0.002299</v>
      </c>
      <c r="AN45" s="4" t="n">
        <v>0.002643</v>
      </c>
      <c r="AO45" s="4" t="n">
        <v>0.00222012</v>
      </c>
      <c r="AP45" s="4" t="n">
        <v>0.00219369</v>
      </c>
      <c r="AQ45" s="4" t="n">
        <v>0.00216726</v>
      </c>
      <c r="AR45" s="4" t="n">
        <v>0.00214083</v>
      </c>
      <c r="AS45" s="4" t="n">
        <v>0.002127615</v>
      </c>
      <c r="AT45" s="4" t="n">
        <v>0.0021144</v>
      </c>
      <c r="AU45" s="4" t="n">
        <v>0.01052</v>
      </c>
      <c r="AV45" s="4" t="n">
        <v>0.001299</v>
      </c>
      <c r="AW45" s="4" t="n">
        <v>0.006512</v>
      </c>
      <c r="AX45" s="4" t="n">
        <v>0.00926</v>
      </c>
      <c r="AY45" s="4" t="n">
        <v>0.001454</v>
      </c>
      <c r="AZ45" s="5" t="n">
        <v>0.00397</v>
      </c>
      <c r="BA45" s="5" t="n">
        <v>0.001188</v>
      </c>
      <c r="BB45" s="5" t="n">
        <v>0.001138</v>
      </c>
      <c r="BC45" s="5" t="n">
        <v>0.00054</v>
      </c>
      <c r="BD45" s="5" t="n">
        <v>0.01348</v>
      </c>
      <c r="BE45" s="5" t="n">
        <v>0.00604</v>
      </c>
      <c r="BF45" s="5" t="n">
        <v>0.001898</v>
      </c>
      <c r="BG45" s="5" t="n">
        <f aca="false">BF45/(1-0.2)</f>
        <v>0.0023725</v>
      </c>
      <c r="BH45" s="5" t="n">
        <f aca="false">BF45/(1-0.25)</f>
        <v>0.00253066666666667</v>
      </c>
      <c r="BI45" s="5" t="n">
        <v>0.0013505</v>
      </c>
      <c r="BJ45" s="5" t="n">
        <v>0.003811</v>
      </c>
      <c r="BK45" s="5" t="n">
        <v>0.001468</v>
      </c>
      <c r="BL45" s="5" t="n">
        <v>0.00265045</v>
      </c>
      <c r="BM45" s="5" t="n">
        <v>0.002491423</v>
      </c>
    </row>
    <row r="46" customFormat="false" ht="15.75" hidden="false" customHeight="true" outlineLevel="0" collapsed="false">
      <c r="A46" s="2" t="n">
        <v>44</v>
      </c>
      <c r="B46" s="2" t="n">
        <v>0.00404231</v>
      </c>
      <c r="C46" s="4" t="n">
        <v>0.004106798027</v>
      </c>
      <c r="D46" s="4" t="n">
        <v>0.0041068</v>
      </c>
      <c r="E46" s="4" t="n">
        <v>0.004464</v>
      </c>
      <c r="F46" s="4" t="n">
        <v>0.00446357</v>
      </c>
      <c r="G46" s="4" t="n">
        <v>0.00412880225</v>
      </c>
      <c r="H46" s="4" t="n">
        <v>0.00406508290810154</v>
      </c>
      <c r="I46" s="4" t="n">
        <v>0.00413921</v>
      </c>
      <c r="J46" s="4" t="n">
        <v>0.0040978179</v>
      </c>
      <c r="K46" s="4" t="n">
        <v>0.00413920587452804</v>
      </c>
      <c r="L46" s="5" t="n">
        <v>0.00314315269419723</v>
      </c>
      <c r="M46" s="5" t="n">
        <f aca="false">L46/(1-0.19)</f>
        <v>0.00388043542493485</v>
      </c>
      <c r="N46" s="5" t="n">
        <f aca="false">L46/(1-0.183)</f>
        <v>0.00384718812019245</v>
      </c>
      <c r="O46" s="5" t="n">
        <v>0.00421759339097582</v>
      </c>
      <c r="P46" s="5" t="n">
        <v>0.00320922574167846</v>
      </c>
      <c r="Q46" s="5" t="n">
        <v>0.00430619656842206</v>
      </c>
      <c r="R46" s="5" t="n">
        <v>0.00419854165421151</v>
      </c>
      <c r="S46" s="4" t="n">
        <v>0.001547</v>
      </c>
      <c r="T46" s="4" t="n">
        <v>0.001715</v>
      </c>
      <c r="U46" s="4" t="n">
        <f aca="false">T46/(1-0.33)</f>
        <v>0.00255970149253731</v>
      </c>
      <c r="V46" s="4" t="n">
        <v>0.003187</v>
      </c>
      <c r="W46" s="4" t="n">
        <v>0.003187</v>
      </c>
      <c r="X46" s="4" t="n">
        <v>0.002727</v>
      </c>
      <c r="Y46" s="4" t="n">
        <v>0.00259065</v>
      </c>
      <c r="Z46" s="4" t="n">
        <v>0.002147</v>
      </c>
      <c r="AA46" s="4" t="n">
        <v>0.002093325</v>
      </c>
      <c r="AB46" s="4" t="n">
        <v>0.002129</v>
      </c>
      <c r="AC46" s="4" t="n">
        <v>0.0021263296</v>
      </c>
      <c r="AD46" s="4" t="n">
        <f aca="false">AC46/(1-0.1)</f>
        <v>0.00236258844444444</v>
      </c>
      <c r="AE46" s="4" t="n">
        <f aca="false">AC46/(1-0.15)</f>
        <v>0.00250156423529412</v>
      </c>
      <c r="AF46" s="4" t="n">
        <f aca="false">AC46/(1-0.2)</f>
        <v>0.002657912</v>
      </c>
      <c r="AG46" s="4" t="n">
        <f aca="false">AC46/(1-0.24)</f>
        <v>0.00279780210526316</v>
      </c>
      <c r="AH46" s="4" t="n">
        <v>0.00564</v>
      </c>
      <c r="AI46" s="4" t="n">
        <v>0.002569</v>
      </c>
      <c r="AJ46" s="4" t="n">
        <v>0.00419</v>
      </c>
      <c r="AK46" s="4" t="n">
        <v>0.003813</v>
      </c>
      <c r="AL46" s="4" t="n">
        <v>0.002497</v>
      </c>
      <c r="AM46" s="4" t="n">
        <v>0.002485</v>
      </c>
      <c r="AN46" s="4" t="n">
        <v>0.002996</v>
      </c>
      <c r="AO46" s="4" t="n">
        <v>0.00251664</v>
      </c>
      <c r="AP46" s="4" t="n">
        <v>0.00248668</v>
      </c>
      <c r="AQ46" s="4" t="n">
        <v>0.00245672</v>
      </c>
      <c r="AR46" s="4" t="n">
        <v>0.00242676</v>
      </c>
      <c r="AS46" s="4" t="n">
        <v>0.00241178</v>
      </c>
      <c r="AT46" s="4" t="n">
        <v>0.0023968</v>
      </c>
      <c r="AU46" s="4" t="n">
        <v>0.01083</v>
      </c>
      <c r="AV46" s="4" t="n">
        <v>0.001397</v>
      </c>
      <c r="AW46" s="4" t="n">
        <v>0.007068</v>
      </c>
      <c r="AX46" s="4" t="n">
        <v>0.00963</v>
      </c>
      <c r="AY46" s="4" t="n">
        <v>0.001568</v>
      </c>
      <c r="AZ46" s="5" t="n">
        <v>0.00435</v>
      </c>
      <c r="BA46" s="5" t="n">
        <v>0.001268</v>
      </c>
      <c r="BB46" s="5" t="n">
        <v>0.001245</v>
      </c>
      <c r="BC46" s="5" t="n">
        <v>0.000589</v>
      </c>
      <c r="BD46" s="5" t="n">
        <v>0.01399</v>
      </c>
      <c r="BE46" s="5" t="n">
        <v>0.00644</v>
      </c>
      <c r="BF46" s="5" t="n">
        <v>0.0020322</v>
      </c>
      <c r="BG46" s="5" t="n">
        <f aca="false">BF46/(1-0.2)</f>
        <v>0.00254025</v>
      </c>
      <c r="BH46" s="5" t="n">
        <f aca="false">BF46/(1-0.25)</f>
        <v>0.0027096</v>
      </c>
      <c r="BI46" s="5" t="n">
        <v>0.0014798</v>
      </c>
      <c r="BJ46" s="5" t="n">
        <v>0.003996</v>
      </c>
      <c r="BK46" s="5" t="n">
        <v>0.001612</v>
      </c>
      <c r="BL46" s="5" t="n">
        <v>0.002817</v>
      </c>
      <c r="BM46" s="5" t="n">
        <v>0.00264798</v>
      </c>
    </row>
    <row r="47" customFormat="false" ht="15.75" hidden="false" customHeight="true" outlineLevel="0" collapsed="false">
      <c r="A47" s="2" t="n">
        <v>45</v>
      </c>
      <c r="B47" s="2" t="n">
        <v>0.00427542</v>
      </c>
      <c r="C47" s="4" t="n">
        <v>0.004342497095</v>
      </c>
      <c r="D47" s="4" t="n">
        <v>0.0043425</v>
      </c>
      <c r="E47" s="4" t="n">
        <v>0.004781</v>
      </c>
      <c r="F47" s="4" t="n">
        <v>0.00478114</v>
      </c>
      <c r="G47" s="4" t="n">
        <v>0.0044225545</v>
      </c>
      <c r="H47" s="4" t="n">
        <v>0.00435492416965766</v>
      </c>
      <c r="I47" s="4" t="n">
        <v>0.0044333</v>
      </c>
      <c r="J47" s="4" t="n">
        <v>0.004388967</v>
      </c>
      <c r="K47" s="4" t="n">
        <v>0.00443329797442825</v>
      </c>
      <c r="L47" s="5" t="n">
        <v>0.00339424045355363</v>
      </c>
      <c r="M47" s="5" t="n">
        <f aca="false">L47/(1-0.19)</f>
        <v>0.00419042031302917</v>
      </c>
      <c r="N47" s="5" t="n">
        <f aca="false">L47/(1-0.183)</f>
        <v>0.00415451707901301</v>
      </c>
      <c r="O47" s="5" t="n">
        <v>0.00451728620130142</v>
      </c>
      <c r="P47" s="5" t="n">
        <v>0.00346441757832296</v>
      </c>
      <c r="Q47" s="5" t="n">
        <v>0.00461268326744803</v>
      </c>
      <c r="R47" s="5" t="n">
        <v>0.00449736618576182</v>
      </c>
      <c r="S47" s="4" t="n">
        <v>0.001752</v>
      </c>
      <c r="T47" s="4" t="n">
        <v>0.001948</v>
      </c>
      <c r="U47" s="4" t="n">
        <f aca="false">T47/(1-0.33)</f>
        <v>0.00290746268656716</v>
      </c>
      <c r="V47" s="4" t="n">
        <v>0.003625</v>
      </c>
      <c r="W47" s="4" t="n">
        <v>0.003625</v>
      </c>
      <c r="X47" s="4" t="n">
        <v>0.002975</v>
      </c>
      <c r="Y47" s="4" t="n">
        <v>0.00282625</v>
      </c>
      <c r="Z47" s="4" t="n">
        <v>0.002426</v>
      </c>
      <c r="AA47" s="4" t="n">
        <v>0.00236535</v>
      </c>
      <c r="AB47" s="4" t="n">
        <v>0.002399</v>
      </c>
      <c r="AC47" s="4" t="n">
        <v>0.0023107433</v>
      </c>
      <c r="AD47" s="4" t="n">
        <f aca="false">AC47/(1-0.1)</f>
        <v>0.00256749255555556</v>
      </c>
      <c r="AE47" s="4" t="n">
        <f aca="false">AC47/(1-0.15)</f>
        <v>0.00271852152941177</v>
      </c>
      <c r="AF47" s="4" t="n">
        <f aca="false">AC47/(1-0.2)</f>
        <v>0.002888429125</v>
      </c>
      <c r="AG47" s="4" t="n">
        <f aca="false">AC47/(1-0.24)</f>
        <v>0.00304045171052632</v>
      </c>
      <c r="AH47" s="4" t="n">
        <v>0.00615</v>
      </c>
      <c r="AI47" s="4" t="n">
        <v>0.002922</v>
      </c>
      <c r="AJ47" s="4" t="n">
        <v>0.00455</v>
      </c>
      <c r="AK47" s="4" t="n">
        <v>0.004202</v>
      </c>
      <c r="AL47" s="4" t="n">
        <v>0.002711</v>
      </c>
      <c r="AM47" s="4" t="n">
        <v>0.002698</v>
      </c>
      <c r="AN47" s="4" t="n">
        <v>0.003406</v>
      </c>
      <c r="AO47" s="4" t="n">
        <v>0.00286104</v>
      </c>
      <c r="AP47" s="4" t="n">
        <v>0.00282698</v>
      </c>
      <c r="AQ47" s="4" t="n">
        <v>0.00279292</v>
      </c>
      <c r="AR47" s="4" t="n">
        <v>0.00275886</v>
      </c>
      <c r="AS47" s="4" t="n">
        <v>0.00274183</v>
      </c>
      <c r="AT47" s="4" t="n">
        <v>0.0027248</v>
      </c>
      <c r="AU47" s="4" t="n">
        <v>0.01116</v>
      </c>
      <c r="AV47" s="4" t="n">
        <v>0.001508</v>
      </c>
      <c r="AW47" s="4" t="n">
        <v>0.007681</v>
      </c>
      <c r="AX47" s="4" t="n">
        <v>0.01003</v>
      </c>
      <c r="AY47" s="4" t="n">
        <v>0.001697</v>
      </c>
      <c r="AZ47" s="5" t="n">
        <v>0.00476</v>
      </c>
      <c r="BA47" s="5" t="n">
        <v>0.001355</v>
      </c>
      <c r="BB47" s="5" t="n">
        <v>0.001364</v>
      </c>
      <c r="BC47" s="5" t="n">
        <v>0.00064</v>
      </c>
      <c r="BD47" s="5" t="n">
        <v>0.01457</v>
      </c>
      <c r="BE47" s="5" t="n">
        <v>0.00688</v>
      </c>
      <c r="BF47" s="5" t="n">
        <v>0.0021748</v>
      </c>
      <c r="BG47" s="5" t="n">
        <f aca="false">BF47/(1-0.2)</f>
        <v>0.0027185</v>
      </c>
      <c r="BH47" s="5" t="n">
        <f aca="false">BF47/(1-0.25)</f>
        <v>0.00289973333333333</v>
      </c>
      <c r="BI47" s="5" t="n">
        <v>0.0016034</v>
      </c>
      <c r="BJ47" s="5" t="n">
        <v>0.004175</v>
      </c>
      <c r="BK47" s="5" t="n">
        <v>0.001772</v>
      </c>
      <c r="BL47" s="5" t="n">
        <v>0.00300726</v>
      </c>
      <c r="BM47" s="5" t="n">
        <v>0.0028268244</v>
      </c>
    </row>
    <row r="48" customFormat="false" ht="15.75" hidden="false" customHeight="true" outlineLevel="0" collapsed="false">
      <c r="A48" s="2" t="n">
        <v>46</v>
      </c>
      <c r="B48" s="2" t="n">
        <v>0.00453429</v>
      </c>
      <c r="C48" s="4" t="n">
        <v>0.00460432126</v>
      </c>
      <c r="D48" s="4" t="n">
        <v>0.00460432</v>
      </c>
      <c r="E48" s="4" t="n">
        <v>0.005119</v>
      </c>
      <c r="F48" s="4" t="n">
        <v>0.00511912</v>
      </c>
      <c r="G48" s="4" t="n">
        <v>0.004735186</v>
      </c>
      <c r="H48" s="4" t="n">
        <v>0.00467065418843462</v>
      </c>
      <c r="I48" s="4" t="n">
        <v>0.00475357</v>
      </c>
      <c r="J48" s="4" t="n">
        <v>0.0047060343</v>
      </c>
      <c r="K48" s="4" t="n">
        <v>0.00475357164704109</v>
      </c>
      <c r="L48" s="5" t="n">
        <v>0.00366421356521877</v>
      </c>
      <c r="M48" s="5" t="n">
        <f aca="false">L48/(1-0.19)</f>
        <v>0.00452372045088737</v>
      </c>
      <c r="N48" s="5" t="n">
        <f aca="false">L48/(1-0.183)</f>
        <v>0.00448496152413558</v>
      </c>
      <c r="O48" s="5" t="n">
        <v>0.00484363777013538</v>
      </c>
      <c r="P48" s="5" t="n">
        <v>0.00373872538837524</v>
      </c>
      <c r="Q48" s="5" t="n">
        <v>0.00494582524414825</v>
      </c>
      <c r="R48" s="5" t="n">
        <v>0.00482217961304455</v>
      </c>
      <c r="S48" s="4" t="n">
        <v>0.001974</v>
      </c>
      <c r="T48" s="4" t="n">
        <v>0.002198</v>
      </c>
      <c r="U48" s="4" t="n">
        <f aca="false">T48/(1-0.33)</f>
        <v>0.00328059701492537</v>
      </c>
      <c r="V48" s="4" t="n">
        <v>0.004116</v>
      </c>
      <c r="W48" s="4" t="n">
        <v>0.004116</v>
      </c>
      <c r="X48" s="4" t="n">
        <v>0.003244</v>
      </c>
      <c r="Y48" s="4" t="n">
        <v>0.0030818</v>
      </c>
      <c r="Z48" s="4" t="n">
        <v>0.002745</v>
      </c>
      <c r="AA48" s="4" t="n">
        <v>0.002676375</v>
      </c>
      <c r="AB48" s="4" t="n">
        <v>0.002693</v>
      </c>
      <c r="AC48" s="4" t="n">
        <v>0.0025148862</v>
      </c>
      <c r="AD48" s="4" t="n">
        <f aca="false">AC48/(1-0.1)</f>
        <v>0.002794318</v>
      </c>
      <c r="AE48" s="4" t="n">
        <f aca="false">AC48/(1-0.15)</f>
        <v>0.00295868964705882</v>
      </c>
      <c r="AF48" s="4" t="n">
        <f aca="false">AC48/(1-0.2)</f>
        <v>0.00314360775</v>
      </c>
      <c r="AG48" s="4" t="n">
        <f aca="false">AC48/(1-0.24)</f>
        <v>0.00330906078947368</v>
      </c>
      <c r="AH48" s="4" t="n">
        <v>0.0067</v>
      </c>
      <c r="AI48" s="4" t="n">
        <v>0.003318</v>
      </c>
      <c r="AJ48" s="4" t="n">
        <v>0.00492</v>
      </c>
      <c r="AK48" s="4" t="n">
        <v>0.004631</v>
      </c>
      <c r="AL48" s="4" t="n">
        <v>0.002955</v>
      </c>
      <c r="AM48" s="4" t="n">
        <v>0.002941</v>
      </c>
      <c r="AN48" s="4" t="n">
        <v>0.003871</v>
      </c>
      <c r="AO48" s="4" t="n">
        <v>0.00325164</v>
      </c>
      <c r="AP48" s="4" t="n">
        <v>0.00321293</v>
      </c>
      <c r="AQ48" s="4" t="n">
        <v>0.00317422</v>
      </c>
      <c r="AR48" s="4" t="n">
        <v>0.00313551</v>
      </c>
      <c r="AS48" s="4" t="n">
        <v>0.003116155</v>
      </c>
      <c r="AT48" s="4" t="n">
        <v>0.0030968</v>
      </c>
      <c r="AU48" s="4" t="n">
        <v>0.01156</v>
      </c>
      <c r="AV48" s="4" t="n">
        <v>0.001616</v>
      </c>
      <c r="AW48" s="4" t="n">
        <v>0.008355</v>
      </c>
      <c r="AX48" s="4" t="n">
        <v>0.01048</v>
      </c>
      <c r="AY48" s="4" t="n">
        <v>0.001852</v>
      </c>
      <c r="AZ48" s="5" t="n">
        <v>0.00521</v>
      </c>
      <c r="BA48" s="5" t="n">
        <v>0.001464</v>
      </c>
      <c r="BB48" s="5" t="n">
        <v>0.001496</v>
      </c>
      <c r="BC48" s="5" t="n">
        <v>0.000693</v>
      </c>
      <c r="BD48" s="5" t="n">
        <v>0.0152</v>
      </c>
      <c r="BE48" s="5" t="n">
        <v>0.00735</v>
      </c>
      <c r="BF48" s="5" t="n">
        <v>0.0023466</v>
      </c>
      <c r="BG48" s="5" t="n">
        <f aca="false">BF48/(1-0.2)</f>
        <v>0.00293325</v>
      </c>
      <c r="BH48" s="5" t="n">
        <f aca="false">BF48/(1-0.25)</f>
        <v>0.0031288</v>
      </c>
      <c r="BI48" s="5" t="n">
        <v>0.0017246</v>
      </c>
      <c r="BJ48" s="5" t="n">
        <v>0.004388</v>
      </c>
      <c r="BK48" s="5" t="n">
        <v>0.001948</v>
      </c>
      <c r="BL48" s="5" t="n">
        <v>0.00322458</v>
      </c>
      <c r="BM48" s="5" t="n">
        <v>0.0030311052</v>
      </c>
    </row>
    <row r="49" customFormat="false" ht="15.75" hidden="false" customHeight="true" outlineLevel="0" collapsed="false">
      <c r="A49" s="2" t="n">
        <v>47</v>
      </c>
      <c r="B49" s="2" t="n">
        <v>0.00482663</v>
      </c>
      <c r="C49" s="4" t="n">
        <v>0.004900191571</v>
      </c>
      <c r="D49" s="4" t="n">
        <v>0.00490019</v>
      </c>
      <c r="E49" s="4" t="n">
        <v>0.005467</v>
      </c>
      <c r="F49" s="4" t="n">
        <v>0.00546707</v>
      </c>
      <c r="G49" s="4" t="n">
        <v>0.00505703975</v>
      </c>
      <c r="H49" s="4" t="n">
        <v>0.00501615395500554</v>
      </c>
      <c r="I49" s="4" t="n">
        <v>0.00510463</v>
      </c>
      <c r="J49" s="4" t="n">
        <v>0.0050535837</v>
      </c>
      <c r="K49" s="4" t="n">
        <v>0.00510463459770571</v>
      </c>
      <c r="L49" s="5" t="n">
        <v>0.00395324991833699</v>
      </c>
      <c r="M49" s="5" t="n">
        <f aca="false">L49/(1-0.19)</f>
        <v>0.00488055545473702</v>
      </c>
      <c r="N49" s="5" t="n">
        <f aca="false">L49/(1-0.183)</f>
        <v>0.00483873919013095</v>
      </c>
      <c r="O49" s="5" t="n">
        <v>0.00520237194756635</v>
      </c>
      <c r="P49" s="5" t="n">
        <v>0.00403251169089184</v>
      </c>
      <c r="Q49" s="5" t="n">
        <v>0.00531163196000011</v>
      </c>
      <c r="R49" s="5" t="n">
        <v>0.00517884116100011</v>
      </c>
      <c r="S49" s="4" t="n">
        <v>0.002211</v>
      </c>
      <c r="T49" s="4" t="n">
        <v>0.002463</v>
      </c>
      <c r="U49" s="4" t="n">
        <f aca="false">T49/(1-0.33)</f>
        <v>0.00367611940298508</v>
      </c>
      <c r="V49" s="4" t="n">
        <v>0.004657</v>
      </c>
      <c r="W49" s="4" t="n">
        <v>0.004657</v>
      </c>
      <c r="X49" s="4" t="n">
        <v>0.003535</v>
      </c>
      <c r="Y49" s="4" t="n">
        <v>0.00335825</v>
      </c>
      <c r="Z49" s="4" t="n">
        <v>0.0031</v>
      </c>
      <c r="AA49" s="4" t="n">
        <v>0.0030225</v>
      </c>
      <c r="AB49" s="4" t="n">
        <v>0.003009</v>
      </c>
      <c r="AC49" s="4" t="n">
        <v>0.0027404001</v>
      </c>
      <c r="AD49" s="4" t="n">
        <f aca="false">AC49/(1-0.1)</f>
        <v>0.003044889</v>
      </c>
      <c r="AE49" s="4" t="n">
        <f aca="false">AC49/(1-0.15)</f>
        <v>0.00322400011764706</v>
      </c>
      <c r="AF49" s="4" t="n">
        <f aca="false">AC49/(1-0.2)</f>
        <v>0.003425500125</v>
      </c>
      <c r="AG49" s="4" t="n">
        <f aca="false">AC49/(1-0.24)</f>
        <v>0.00360578960526316</v>
      </c>
      <c r="AH49" s="4" t="n">
        <v>0.00731</v>
      </c>
      <c r="AI49" s="4" t="n">
        <v>0.003754</v>
      </c>
      <c r="AJ49" s="4" t="n">
        <v>0.00532</v>
      </c>
      <c r="AK49" s="4" t="n">
        <v>0.005103</v>
      </c>
      <c r="AL49" s="4" t="n">
        <v>0.003233</v>
      </c>
      <c r="AM49" s="4" t="n">
        <v>0.003219</v>
      </c>
      <c r="AN49" s="4" t="n">
        <v>0.004387</v>
      </c>
      <c r="AO49" s="4" t="n">
        <v>0.00368508</v>
      </c>
      <c r="AP49" s="4" t="n">
        <v>0.00364121</v>
      </c>
      <c r="AQ49" s="4" t="n">
        <v>0.00359734</v>
      </c>
      <c r="AR49" s="4" t="n">
        <v>0.00355347</v>
      </c>
      <c r="AS49" s="4" t="n">
        <v>0.003531535</v>
      </c>
      <c r="AT49" s="4" t="n">
        <v>0.0035096</v>
      </c>
      <c r="AU49" s="4" t="n">
        <v>0.012</v>
      </c>
      <c r="AV49" s="4" t="n">
        <v>0.001734</v>
      </c>
      <c r="AW49" s="4" t="n">
        <v>0.009098</v>
      </c>
      <c r="AX49" s="4" t="n">
        <v>0.01097</v>
      </c>
      <c r="AY49" s="4" t="n">
        <v>0.002042</v>
      </c>
      <c r="AZ49" s="5" t="n">
        <v>0.00573</v>
      </c>
      <c r="BA49" s="5" t="n">
        <v>0.001615</v>
      </c>
      <c r="BB49" s="5" t="n">
        <v>0.001641</v>
      </c>
      <c r="BC49" s="5" t="n">
        <v>0.00075</v>
      </c>
      <c r="BD49" s="5" t="n">
        <v>0.0159</v>
      </c>
      <c r="BE49" s="5" t="n">
        <v>0.00786</v>
      </c>
      <c r="BF49" s="5" t="n">
        <v>0.0025429</v>
      </c>
      <c r="BG49" s="5" t="n">
        <f aca="false">BF49/(1-0.2)</f>
        <v>0.003178625</v>
      </c>
      <c r="BH49" s="5" t="n">
        <f aca="false">BF49/(1-0.25)</f>
        <v>0.00339053333333333</v>
      </c>
      <c r="BI49" s="5" t="n">
        <v>0.0018463</v>
      </c>
      <c r="BJ49" s="5" t="n">
        <v>0.004666</v>
      </c>
      <c r="BK49" s="5" t="n">
        <v>0.002144</v>
      </c>
      <c r="BL49" s="5" t="n">
        <v>0.00347282</v>
      </c>
      <c r="BM49" s="5" t="n">
        <v>0.0032644508</v>
      </c>
    </row>
    <row r="50" customFormat="false" ht="15.75" hidden="false" customHeight="true" outlineLevel="0" collapsed="false">
      <c r="A50" s="2" t="n">
        <v>48</v>
      </c>
      <c r="B50" s="2" t="n">
        <v>0.00515888</v>
      </c>
      <c r="C50" s="4" t="n">
        <v>0.005236670842</v>
      </c>
      <c r="D50" s="4" t="n">
        <v>0.00523667</v>
      </c>
      <c r="E50" s="4" t="n">
        <v>0.005822</v>
      </c>
      <c r="F50" s="4" t="n">
        <v>0.00582209</v>
      </c>
      <c r="G50" s="4" t="n">
        <v>0.00538543325</v>
      </c>
      <c r="H50" s="4" t="n">
        <v>0.00539303692074167</v>
      </c>
      <c r="I50" s="4" t="n">
        <v>0.00548821</v>
      </c>
      <c r="J50" s="4" t="n">
        <v>0.0054333279</v>
      </c>
      <c r="K50" s="4" t="n">
        <v>0.00548820922843451</v>
      </c>
      <c r="L50" s="5" t="n">
        <v>0.00426060613110595</v>
      </c>
      <c r="M50" s="5" t="n">
        <f aca="false">L50/(1-0.19)</f>
        <v>0.00526000756926661</v>
      </c>
      <c r="N50" s="5" t="n">
        <f aca="false">L50/(1-0.183)</f>
        <v>0.0052149401849522</v>
      </c>
      <c r="O50" s="5" t="n">
        <v>0.00559556519774784</v>
      </c>
      <c r="P50" s="5" t="n">
        <v>0.00434504658025027</v>
      </c>
      <c r="Q50" s="5" t="n">
        <v>0.00571202674432655</v>
      </c>
      <c r="R50" s="5" t="n">
        <v>0.00556922607571839</v>
      </c>
      <c r="S50" s="4" t="n">
        <v>0.00246</v>
      </c>
      <c r="T50" s="4" t="n">
        <v>0.00274</v>
      </c>
      <c r="U50" s="4" t="n">
        <f aca="false">T50/(1-0.33)</f>
        <v>0.00408955223880597</v>
      </c>
      <c r="V50" s="4" t="n">
        <v>0.005246</v>
      </c>
      <c r="W50" s="4" t="n">
        <v>0.005246</v>
      </c>
      <c r="X50" s="4" t="n">
        <v>0.003849</v>
      </c>
      <c r="Y50" s="4" t="n">
        <v>0.00365655</v>
      </c>
      <c r="Z50" s="4" t="n">
        <v>0.003487</v>
      </c>
      <c r="AA50" s="4" t="n">
        <v>0.003399825</v>
      </c>
      <c r="AB50" s="4" t="n">
        <v>0.003343</v>
      </c>
      <c r="AC50" s="4" t="n">
        <v>0.0029891469</v>
      </c>
      <c r="AD50" s="4" t="n">
        <f aca="false">AC50/(1-0.1)</f>
        <v>0.00332127433333333</v>
      </c>
      <c r="AE50" s="4" t="n">
        <f aca="false">AC50/(1-0.15)</f>
        <v>0.00351664341176471</v>
      </c>
      <c r="AF50" s="4" t="n">
        <f aca="false">AC50/(1-0.2)</f>
        <v>0.003736433625</v>
      </c>
      <c r="AG50" s="4" t="n">
        <f aca="false">AC50/(1-0.24)</f>
        <v>0.00393308802631579</v>
      </c>
      <c r="AH50" s="4" t="n">
        <v>0.00798</v>
      </c>
      <c r="AI50" s="4" t="n">
        <v>0.004228</v>
      </c>
      <c r="AJ50" s="4" t="n">
        <v>0.00574</v>
      </c>
      <c r="AK50" s="4" t="n">
        <v>0.00562</v>
      </c>
      <c r="AL50" s="4" t="n">
        <v>0.003548</v>
      </c>
      <c r="AM50" s="4" t="n">
        <v>0.003534</v>
      </c>
      <c r="AN50" s="4" t="n">
        <v>0.004952</v>
      </c>
      <c r="AO50" s="4" t="n">
        <v>0.00415968</v>
      </c>
      <c r="AP50" s="4" t="n">
        <v>0.00411016</v>
      </c>
      <c r="AQ50" s="4" t="n">
        <v>0.00406064</v>
      </c>
      <c r="AR50" s="4" t="n">
        <v>0.00401112</v>
      </c>
      <c r="AS50" s="4" t="n">
        <v>0.00398636</v>
      </c>
      <c r="AT50" s="4" t="n">
        <v>0.0039616</v>
      </c>
      <c r="AU50" s="4" t="n">
        <v>0.01251</v>
      </c>
      <c r="AV50" s="4" t="n">
        <v>0.00186</v>
      </c>
      <c r="AW50" s="4" t="n">
        <v>0.009916</v>
      </c>
      <c r="AX50" s="4" t="n">
        <v>0.01151</v>
      </c>
      <c r="AY50" s="4" t="n">
        <v>0.00226</v>
      </c>
      <c r="AZ50" s="5" t="n">
        <v>0.00633</v>
      </c>
      <c r="BA50" s="5" t="n">
        <v>0.001808</v>
      </c>
      <c r="BB50" s="5" t="n">
        <v>0.001798</v>
      </c>
      <c r="BC50" s="5" t="n">
        <v>0.000811</v>
      </c>
      <c r="BD50" s="5" t="n">
        <v>0.01667</v>
      </c>
      <c r="BE50" s="5" t="n">
        <v>0.00841</v>
      </c>
      <c r="BF50" s="5" t="n">
        <v>0.0027966</v>
      </c>
      <c r="BG50" s="5" t="n">
        <f aca="false">BF50/(1-0.2)</f>
        <v>0.00349575</v>
      </c>
      <c r="BH50" s="5" t="n">
        <f aca="false">BF50/(1-0.25)</f>
        <v>0.0037288</v>
      </c>
      <c r="BI50" s="5" t="n">
        <v>0.0020009</v>
      </c>
      <c r="BJ50" s="5" t="n">
        <v>0.004973</v>
      </c>
      <c r="BK50" s="5" t="n">
        <v>0.002361</v>
      </c>
      <c r="BL50" s="5" t="n">
        <v>0.00375637</v>
      </c>
      <c r="BM50" s="5" t="n">
        <v>0.0035309878</v>
      </c>
    </row>
    <row r="51" customFormat="false" ht="15.75" hidden="false" customHeight="true" outlineLevel="0" collapsed="false">
      <c r="A51" s="2" t="n">
        <v>49</v>
      </c>
      <c r="B51" s="2" t="n">
        <v>0.00553673</v>
      </c>
      <c r="C51" s="4" t="n">
        <v>0.005619520093</v>
      </c>
      <c r="D51" s="4" t="n">
        <v>0.00561952</v>
      </c>
      <c r="E51" s="4" t="n">
        <v>0.006188</v>
      </c>
      <c r="F51" s="4" t="n">
        <v>0.00618776</v>
      </c>
      <c r="G51" s="4" t="n">
        <v>0.005723678</v>
      </c>
      <c r="H51" s="4" t="n">
        <v>0.00580201340556112</v>
      </c>
      <c r="I51" s="4" t="n">
        <v>0.00590483</v>
      </c>
      <c r="J51" s="4" t="n">
        <v>0.0058457817</v>
      </c>
      <c r="K51" s="4" t="n">
        <v>0.00590482801851389</v>
      </c>
      <c r="L51" s="5" t="n">
        <v>0.00458834773884064</v>
      </c>
      <c r="M51" s="5" t="n">
        <f aca="false">L51/(1-0.19)</f>
        <v>0.00566462683807487</v>
      </c>
      <c r="N51" s="5" t="n">
        <f aca="false">L51/(1-0.183)</f>
        <v>0.00561609270359932</v>
      </c>
      <c r="O51" s="5" t="n">
        <v>0.00602313862353107</v>
      </c>
      <c r="P51" s="5" t="n">
        <v>0.00467837692506408</v>
      </c>
      <c r="Q51" s="5" t="n">
        <v>0.00614699128722963</v>
      </c>
      <c r="R51" s="5" t="n">
        <v>0.00599331650504889</v>
      </c>
      <c r="S51" s="4" t="n">
        <v>0.002721</v>
      </c>
      <c r="T51" s="4" t="n">
        <v>0.003028</v>
      </c>
      <c r="U51" s="4" t="n">
        <f aca="false">T51/(1-0.33)</f>
        <v>0.00451940298507463</v>
      </c>
      <c r="V51" s="4" t="n">
        <v>0.00588</v>
      </c>
      <c r="W51" s="4" t="n">
        <v>0.00588</v>
      </c>
      <c r="X51" s="4" t="n">
        <v>0.004187</v>
      </c>
      <c r="Y51" s="4" t="n">
        <v>0.00397765</v>
      </c>
      <c r="Z51" s="4" t="n">
        <v>0.003903</v>
      </c>
      <c r="AA51" s="4" t="n">
        <v>0.003805425</v>
      </c>
      <c r="AB51" s="4" t="n">
        <v>0.003694</v>
      </c>
      <c r="AC51" s="4" t="n">
        <v>0.0032632387</v>
      </c>
      <c r="AD51" s="4" t="n">
        <f aca="false">AC51/(1-0.1)</f>
        <v>0.00362582077777778</v>
      </c>
      <c r="AE51" s="4" t="n">
        <f aca="false">AC51/(1-0.15)</f>
        <v>0.00383910435294118</v>
      </c>
      <c r="AF51" s="4" t="n">
        <f aca="false">AC51/(1-0.2)</f>
        <v>0.004079048375</v>
      </c>
      <c r="AG51" s="4" t="n">
        <f aca="false">AC51/(1-0.24)</f>
        <v>0.00429373513157895</v>
      </c>
      <c r="AH51" s="4" t="n">
        <v>0.00872</v>
      </c>
      <c r="AI51" s="4" t="n">
        <v>0.00474</v>
      </c>
      <c r="AJ51" s="4" t="n">
        <v>0.00621</v>
      </c>
      <c r="AK51" s="4" t="n">
        <v>0.006185</v>
      </c>
      <c r="AL51" s="4" t="n">
        <v>0.003906</v>
      </c>
      <c r="AM51" s="4" t="n">
        <v>0.003871</v>
      </c>
      <c r="AN51" s="4" t="n">
        <v>0.005563</v>
      </c>
      <c r="AO51" s="4" t="n">
        <v>0.00467292</v>
      </c>
      <c r="AP51" s="4" t="n">
        <v>0.00461729</v>
      </c>
      <c r="AQ51" s="4" t="n">
        <v>0.00456166</v>
      </c>
      <c r="AR51" s="4" t="n">
        <v>0.00450603</v>
      </c>
      <c r="AS51" s="4" t="n">
        <v>0.004478215</v>
      </c>
      <c r="AT51" s="4" t="n">
        <v>0.0044504</v>
      </c>
      <c r="AU51" s="4" t="n">
        <v>0.01311</v>
      </c>
      <c r="AV51" s="4" t="n">
        <v>0.001995</v>
      </c>
      <c r="AW51" s="4" t="n">
        <v>0.010817</v>
      </c>
      <c r="AX51" s="4" t="n">
        <v>0.0121</v>
      </c>
      <c r="AY51" s="4" t="n">
        <v>0.002501</v>
      </c>
      <c r="AZ51" s="5" t="n">
        <v>0.007</v>
      </c>
      <c r="BA51" s="5" t="n">
        <v>0.002032</v>
      </c>
      <c r="BB51" s="5" t="n">
        <v>0.001967</v>
      </c>
      <c r="BC51" s="5" t="n">
        <v>0.000877</v>
      </c>
      <c r="BD51" s="5" t="n">
        <v>0.01752</v>
      </c>
      <c r="BE51" s="5" t="n">
        <v>0.00902</v>
      </c>
      <c r="BF51" s="5" t="n">
        <v>0.0030327</v>
      </c>
      <c r="BG51" s="5" t="n">
        <f aca="false">BF51/(1-0.2)</f>
        <v>0.003790875</v>
      </c>
      <c r="BH51" s="5" t="n">
        <f aca="false">BF51/(1-0.25)</f>
        <v>0.0040436</v>
      </c>
      <c r="BI51" s="5" t="n">
        <v>0.0021789</v>
      </c>
      <c r="BJ51" s="5" t="n">
        <v>0.005305</v>
      </c>
      <c r="BK51" s="5" t="n">
        <v>0.002601</v>
      </c>
      <c r="BL51" s="5" t="n">
        <v>0.00408022</v>
      </c>
      <c r="BM51" s="5" t="n">
        <v>0.0038354068</v>
      </c>
    </row>
    <row r="52" customFormat="false" ht="15.75" hidden="false" customHeight="true" outlineLevel="0" collapsed="false">
      <c r="A52" s="2" t="n">
        <v>50</v>
      </c>
      <c r="B52" s="2" t="n">
        <v>0.0059633</v>
      </c>
      <c r="C52" s="4" t="n">
        <v>0.006051807372</v>
      </c>
      <c r="D52" s="4" t="n">
        <v>0.00605181</v>
      </c>
      <c r="E52" s="4" t="n">
        <v>0.006579</v>
      </c>
      <c r="F52" s="4" t="n">
        <v>0.00657882</v>
      </c>
      <c r="G52" s="4" t="n">
        <v>0.0060854085</v>
      </c>
      <c r="H52" s="4" t="n">
        <v>0.00624328127621157</v>
      </c>
      <c r="I52" s="4" t="n">
        <v>0.0063542</v>
      </c>
      <c r="J52" s="4" t="n">
        <v>0.006290658</v>
      </c>
      <c r="K52" s="4" t="n">
        <v>0.00635419802158333</v>
      </c>
      <c r="L52" s="5" t="n">
        <v>0.00494209111077578</v>
      </c>
      <c r="M52" s="5" t="n">
        <f aca="false">L52/(1-0.19)</f>
        <v>0.00610134705034047</v>
      </c>
      <c r="N52" s="5" t="n">
        <f aca="false">L52/(1-0.183)</f>
        <v>0.00604907112702054</v>
      </c>
      <c r="O52" s="5" t="n">
        <v>0.00648469724843163</v>
      </c>
      <c r="P52" s="5" t="n">
        <v>0.00503793056477234</v>
      </c>
      <c r="Q52" s="5" t="n">
        <v>0.00661607034177175</v>
      </c>
      <c r="R52" s="5" t="n">
        <v>0.00645066858322746</v>
      </c>
      <c r="S52" s="4" t="n">
        <v>0.002994</v>
      </c>
      <c r="T52" s="4" t="n">
        <v>0.00333</v>
      </c>
      <c r="U52" s="4" t="n">
        <f aca="false">T52/(1-0.33)</f>
        <v>0.00497014925373134</v>
      </c>
      <c r="V52" s="4" t="n">
        <v>0.006557</v>
      </c>
      <c r="W52" s="4" t="n">
        <v>0.006557</v>
      </c>
      <c r="X52" s="4" t="n">
        <v>0.00455</v>
      </c>
      <c r="Y52" s="4" t="n">
        <v>0.0043225</v>
      </c>
      <c r="Z52" s="4" t="n">
        <v>0.004343</v>
      </c>
      <c r="AA52" s="4" t="n">
        <v>0.004234425</v>
      </c>
      <c r="AB52" s="4" t="n">
        <v>0.004057</v>
      </c>
      <c r="AC52" s="4" t="n">
        <v>0.0035646488</v>
      </c>
      <c r="AD52" s="4" t="n">
        <f aca="false">AC52/(1-0.1)</f>
        <v>0.00396072088888889</v>
      </c>
      <c r="AE52" s="4" t="n">
        <f aca="false">AC52/(1-0.15)</f>
        <v>0.00419370447058824</v>
      </c>
      <c r="AF52" s="4" t="n">
        <f aca="false">AC52/(1-0.2)</f>
        <v>0.004455811</v>
      </c>
      <c r="AG52" s="4" t="n">
        <f aca="false">AC52/(1-0.24)</f>
        <v>0.00469032736842105</v>
      </c>
      <c r="AH52" s="4" t="n">
        <v>0.00952</v>
      </c>
      <c r="AI52" s="4" t="n">
        <v>0.005285</v>
      </c>
      <c r="AJ52" s="4" t="n">
        <v>0.00671</v>
      </c>
      <c r="AK52" s="4" t="n">
        <v>0.006802</v>
      </c>
      <c r="AL52" s="4" t="n">
        <v>0.004309</v>
      </c>
      <c r="AM52" s="4" t="n">
        <v>0.004218</v>
      </c>
      <c r="AN52" s="4" t="n">
        <v>0.006219</v>
      </c>
      <c r="AO52" s="4" t="n">
        <v>0.00522396</v>
      </c>
      <c r="AP52" s="4" t="n">
        <v>0.00516177</v>
      </c>
      <c r="AQ52" s="4" t="n">
        <v>0.00509958</v>
      </c>
      <c r="AR52" s="4" t="n">
        <v>0.00503739</v>
      </c>
      <c r="AS52" s="4" t="n">
        <v>0.005006295</v>
      </c>
      <c r="AT52" s="4" t="n">
        <v>0.0049752</v>
      </c>
      <c r="AU52" s="4" t="n">
        <v>0.01378</v>
      </c>
      <c r="AV52" s="4" t="n">
        <v>0.002138</v>
      </c>
      <c r="AW52" s="4" t="n">
        <v>0.011809</v>
      </c>
      <c r="AX52" s="4" t="n">
        <v>0.01275</v>
      </c>
      <c r="AY52" s="4" t="n">
        <v>0.002773</v>
      </c>
      <c r="AZ52" s="5" t="n">
        <v>0.00774</v>
      </c>
      <c r="BA52" s="5" t="n">
        <v>0.002285</v>
      </c>
      <c r="BB52" s="5" t="n">
        <v>0.002148</v>
      </c>
      <c r="BC52" s="5" t="n">
        <v>0.00095</v>
      </c>
      <c r="BD52" s="5" t="n">
        <v>0.01845</v>
      </c>
      <c r="BE52" s="5" t="n">
        <v>0.00969</v>
      </c>
      <c r="BF52" s="5" t="n">
        <v>0.0033904</v>
      </c>
      <c r="BG52" s="5" t="n">
        <f aca="false">BF52/(1-0.2)</f>
        <v>0.004238</v>
      </c>
      <c r="BH52" s="5" t="n">
        <f aca="false">BF52/(1-0.25)</f>
        <v>0.00452053333333333</v>
      </c>
      <c r="BI52" s="5" t="n">
        <v>0.0023873</v>
      </c>
      <c r="BJ52" s="5" t="n">
        <v>0.005666</v>
      </c>
      <c r="BK52" s="5" t="n">
        <v>0.002866</v>
      </c>
      <c r="BL52" s="5" t="n">
        <v>0.0044501</v>
      </c>
      <c r="BM52" s="5" t="n">
        <v>0.004183094</v>
      </c>
    </row>
    <row r="53" customFormat="false" ht="15.75" hidden="false" customHeight="true" outlineLevel="0" collapsed="false">
      <c r="A53" s="2" t="n">
        <v>51</v>
      </c>
      <c r="B53" s="2" t="n">
        <v>0.00643941</v>
      </c>
      <c r="C53" s="4" t="n">
        <v>0.006534221623</v>
      </c>
      <c r="D53" s="4" t="n">
        <v>0.00653422</v>
      </c>
      <c r="E53" s="4" t="n">
        <v>0.007019</v>
      </c>
      <c r="F53" s="4" t="n">
        <v>0.00701919</v>
      </c>
      <c r="G53" s="4" t="n">
        <v>0.00649275075</v>
      </c>
      <c r="H53" s="4" t="n">
        <v>0.00671768708653383</v>
      </c>
      <c r="I53" s="4" t="n">
        <v>0.00683705</v>
      </c>
      <c r="J53" s="4" t="n">
        <v>0.0067686795</v>
      </c>
      <c r="K53" s="4" t="n">
        <v>0.00683705260055113</v>
      </c>
      <c r="L53" s="5" t="n">
        <v>0.00532310060292482</v>
      </c>
      <c r="M53" s="5" t="n">
        <f aca="false">L53/(1-0.19)</f>
        <v>0.00657172913941336</v>
      </c>
      <c r="N53" s="5" t="n">
        <f aca="false">L53/(1-0.183)</f>
        <v>0.00651542301459586</v>
      </c>
      <c r="O53" s="5" t="n">
        <v>0.00697937359523313</v>
      </c>
      <c r="P53" s="5" t="n">
        <v>0.00542507085974692</v>
      </c>
      <c r="Q53" s="5" t="n">
        <v>0.00711868428473482</v>
      </c>
      <c r="R53" s="5" t="n">
        <v>0.00694071717761645</v>
      </c>
      <c r="S53" s="4" t="n">
        <v>0.003279</v>
      </c>
      <c r="T53" s="4" t="n">
        <v>0.003647</v>
      </c>
      <c r="U53" s="4" t="n">
        <f aca="false">T53/(1-0.33)</f>
        <v>0.00544328358208955</v>
      </c>
      <c r="V53" s="4" t="n">
        <v>0.007277</v>
      </c>
      <c r="W53" s="4" t="n">
        <v>0.007277</v>
      </c>
      <c r="X53" s="4" t="n">
        <v>0.004943</v>
      </c>
      <c r="Y53" s="4" t="n">
        <v>0.00469585</v>
      </c>
      <c r="Z53" s="4" t="n">
        <v>0.004804</v>
      </c>
      <c r="AA53" s="4" t="n">
        <v>0.0046839</v>
      </c>
      <c r="AB53" s="4" t="n">
        <v>0.004431</v>
      </c>
      <c r="AC53" s="4" t="n">
        <v>0.0038958811</v>
      </c>
      <c r="AD53" s="4" t="n">
        <f aca="false">AC53/(1-0.1)</f>
        <v>0.00432875677777778</v>
      </c>
      <c r="AE53" s="4" t="n">
        <f aca="false">AC53/(1-0.15)</f>
        <v>0.00458338952941177</v>
      </c>
      <c r="AF53" s="4" t="n">
        <f aca="false">AC53/(1-0.2)</f>
        <v>0.004869851375</v>
      </c>
      <c r="AG53" s="4" t="n">
        <f aca="false">AC53/(1-0.24)</f>
        <v>0.00512615934210526</v>
      </c>
      <c r="AH53" s="4" t="n">
        <v>0.0104</v>
      </c>
      <c r="AI53" s="4" t="n">
        <v>0.005867</v>
      </c>
      <c r="AJ53" s="4" t="n">
        <v>0.0073</v>
      </c>
      <c r="AK53" s="4" t="n">
        <v>0.007472</v>
      </c>
      <c r="AL53" s="4" t="n">
        <v>0.004761</v>
      </c>
      <c r="AM53" s="4" t="n">
        <v>0.004578</v>
      </c>
      <c r="AN53" s="4" t="n">
        <v>0.006917</v>
      </c>
      <c r="AO53" s="4" t="n">
        <v>0.00581028</v>
      </c>
      <c r="AP53" s="4" t="n">
        <v>0.00574111</v>
      </c>
      <c r="AQ53" s="4" t="n">
        <v>0.00567194</v>
      </c>
      <c r="AR53" s="4" t="n">
        <v>0.00560277</v>
      </c>
      <c r="AS53" s="4" t="n">
        <v>0.005568185</v>
      </c>
      <c r="AT53" s="4" t="n">
        <v>0.0055336</v>
      </c>
      <c r="AU53" s="4" t="n">
        <v>0.01454</v>
      </c>
      <c r="AV53" s="4" t="n">
        <v>0.002449</v>
      </c>
      <c r="AW53" s="4" t="n">
        <v>0.012901</v>
      </c>
      <c r="AX53" s="4" t="n">
        <v>0.01347</v>
      </c>
      <c r="AY53" s="4" t="n">
        <v>0.003088</v>
      </c>
      <c r="AZ53" s="5" t="n">
        <v>0.00852</v>
      </c>
      <c r="BA53" s="5" t="n">
        <v>0.002557</v>
      </c>
      <c r="BB53" s="5" t="n">
        <v>0.00234</v>
      </c>
      <c r="BC53" s="5" t="n">
        <v>0.001031</v>
      </c>
      <c r="BD53" s="5" t="n">
        <v>0.01947</v>
      </c>
      <c r="BE53" s="5" t="n">
        <v>0.01043</v>
      </c>
      <c r="BF53" s="5" t="n">
        <v>0.0037727</v>
      </c>
      <c r="BG53" s="5" t="n">
        <f aca="false">BF53/(1-0.2)</f>
        <v>0.004715875</v>
      </c>
      <c r="BH53" s="5" t="n">
        <f aca="false">BF53/(1-0.25)</f>
        <v>0.00503026666666667</v>
      </c>
      <c r="BI53" s="5" t="n">
        <v>0.0026229</v>
      </c>
      <c r="BJ53" s="5" t="n">
        <v>0.006069</v>
      </c>
      <c r="BK53" s="5" t="n">
        <v>0.003161</v>
      </c>
      <c r="BL53" s="5" t="n">
        <v>0.00493168</v>
      </c>
      <c r="BM53" s="5" t="n">
        <v>0.0046357792</v>
      </c>
    </row>
    <row r="54" customFormat="false" ht="15.75" hidden="false" customHeight="true" outlineLevel="0" collapsed="false">
      <c r="A54" s="2" t="n">
        <v>52</v>
      </c>
      <c r="B54" s="2" t="n">
        <v>0.006964</v>
      </c>
      <c r="C54" s="4" t="n">
        <v>0.007065511831</v>
      </c>
      <c r="D54" s="4" t="n">
        <v>0.00706551</v>
      </c>
      <c r="E54" s="4" t="n">
        <v>0.00753</v>
      </c>
      <c r="F54" s="4" t="n">
        <v>0.00753027</v>
      </c>
      <c r="G54" s="4" t="n">
        <v>0.00696549975</v>
      </c>
      <c r="H54" s="4" t="n">
        <v>0.00722720616922133</v>
      </c>
      <c r="I54" s="4" t="n">
        <v>0.00735567</v>
      </c>
      <c r="J54" s="4" t="n">
        <v>0.0072821133</v>
      </c>
      <c r="K54" s="4" t="n">
        <v>0.00735567261133783</v>
      </c>
      <c r="L54" s="5" t="n">
        <v>0.00572830122805837</v>
      </c>
      <c r="M54" s="5" t="n">
        <f aca="false">L54/(1-0.19)</f>
        <v>0.00707197682476342</v>
      </c>
      <c r="N54" s="5" t="n">
        <f aca="false">L54/(1-0.183)</f>
        <v>0.00701138461206655</v>
      </c>
      <c r="O54" s="5" t="n">
        <v>0.00750755160638651</v>
      </c>
      <c r="P54" s="5" t="n">
        <v>0.00583701657938352</v>
      </c>
      <c r="Q54" s="5" t="n">
        <v>0.00765558303794528</v>
      </c>
      <c r="R54" s="5" t="n">
        <v>0.00746419346199665</v>
      </c>
      <c r="S54" s="4" t="n">
        <v>0.003576</v>
      </c>
      <c r="T54" s="4" t="n">
        <v>0.00398</v>
      </c>
      <c r="U54" s="4" t="n">
        <f aca="false">T54/(1-0.33)</f>
        <v>0.00594029850746269</v>
      </c>
      <c r="V54" s="4" t="n">
        <v>0.008038</v>
      </c>
      <c r="W54" s="4" t="n">
        <v>0.008038</v>
      </c>
      <c r="X54" s="4" t="n">
        <v>0.005378</v>
      </c>
      <c r="Y54" s="4" t="n">
        <v>0.0051091</v>
      </c>
      <c r="Z54" s="4" t="n">
        <v>0.005283</v>
      </c>
      <c r="AA54" s="4" t="n">
        <v>0.005150925</v>
      </c>
      <c r="AB54" s="4" t="n">
        <v>0.004812</v>
      </c>
      <c r="AC54" s="4" t="n">
        <v>0.004259815</v>
      </c>
      <c r="AD54" s="4" t="n">
        <f aca="false">AC54/(1-0.1)</f>
        <v>0.00473312777777778</v>
      </c>
      <c r="AE54" s="4" t="n">
        <f aca="false">AC54/(1-0.15)</f>
        <v>0.00501154705882353</v>
      </c>
      <c r="AF54" s="4" t="n">
        <f aca="false">AC54/(1-0.2)</f>
        <v>0.00532476875</v>
      </c>
      <c r="AG54" s="4" t="n">
        <f aca="false">AC54/(1-0.24)</f>
        <v>0.00560501973684211</v>
      </c>
      <c r="AH54" s="4" t="n">
        <v>0.01137</v>
      </c>
      <c r="AI54" s="4" t="n">
        <v>0.00648</v>
      </c>
      <c r="AJ54" s="4" t="n">
        <v>0.00796</v>
      </c>
      <c r="AK54" s="4" t="n">
        <v>0.00821</v>
      </c>
      <c r="AL54" s="4" t="n">
        <v>0.005266</v>
      </c>
      <c r="AM54" s="4" t="n">
        <v>0.004958</v>
      </c>
      <c r="AN54" s="4" t="n">
        <v>0.007658</v>
      </c>
      <c r="AO54" s="4" t="n">
        <v>0.00643272</v>
      </c>
      <c r="AP54" s="4" t="n">
        <v>0.00635614</v>
      </c>
      <c r="AQ54" s="4" t="n">
        <v>0.00627956</v>
      </c>
      <c r="AR54" s="4" t="n">
        <v>0.00620298</v>
      </c>
      <c r="AS54" s="4" t="n">
        <v>0.00616469</v>
      </c>
      <c r="AT54" s="4" t="n">
        <v>0.0061264</v>
      </c>
      <c r="AU54" s="4" t="n">
        <v>0.01539</v>
      </c>
      <c r="AV54" s="4" t="n">
        <v>0.002667</v>
      </c>
      <c r="AW54" s="4" t="n">
        <v>0.014201</v>
      </c>
      <c r="AX54" s="4" t="n">
        <v>0.01427</v>
      </c>
      <c r="AY54" s="4" t="n">
        <v>0.003455</v>
      </c>
      <c r="AZ54" s="5" t="n">
        <v>0.00929</v>
      </c>
      <c r="BA54" s="5" t="n">
        <v>0.002828</v>
      </c>
      <c r="BB54" s="5" t="n">
        <v>0.002544</v>
      </c>
      <c r="BC54" s="5" t="n">
        <v>0.00112</v>
      </c>
      <c r="BD54" s="5" t="n">
        <v>0.02061</v>
      </c>
      <c r="BE54" s="5" t="n">
        <v>0.01125</v>
      </c>
      <c r="BF54" s="5" t="n">
        <v>0.0042051</v>
      </c>
      <c r="BG54" s="5" t="n">
        <f aca="false">BF54/(1-0.2)</f>
        <v>0.005256375</v>
      </c>
      <c r="BH54" s="5" t="n">
        <f aca="false">BF54/(1-0.25)</f>
        <v>0.0056068</v>
      </c>
      <c r="BI54" s="5" t="n">
        <v>0.0029034</v>
      </c>
      <c r="BJ54" s="5" t="n">
        <v>0.006539</v>
      </c>
      <c r="BK54" s="5" t="n">
        <v>0.003487</v>
      </c>
      <c r="BL54" s="5" t="n">
        <v>0.00546059</v>
      </c>
      <c r="BM54" s="5" t="n">
        <v>0.0051329546</v>
      </c>
    </row>
    <row r="55" customFormat="false" ht="15.75" hidden="false" customHeight="true" outlineLevel="0" collapsed="false">
      <c r="A55" s="2" t="n">
        <v>53</v>
      </c>
      <c r="B55" s="2" t="n">
        <v>0.0075338</v>
      </c>
      <c r="C55" s="4" t="n">
        <v>0.007642192435</v>
      </c>
      <c r="D55" s="4" t="n">
        <v>0.00764219</v>
      </c>
      <c r="E55" s="4" t="n">
        <v>0.008132</v>
      </c>
      <c r="F55" s="4" t="n">
        <v>0.00813168</v>
      </c>
      <c r="G55" s="4" t="n">
        <v>0.007521804</v>
      </c>
      <c r="H55" s="4" t="n">
        <v>0.00777347739153608</v>
      </c>
      <c r="I55" s="4" t="n">
        <v>0.0079117</v>
      </c>
      <c r="J55" s="4" t="n">
        <v>0.007832583</v>
      </c>
      <c r="K55" s="4" t="n">
        <v>0.00791170489386821</v>
      </c>
      <c r="L55" s="5" t="n">
        <v>0.00615815694145754</v>
      </c>
      <c r="M55" s="5" t="n">
        <f aca="false">L55/(1-0.19)</f>
        <v>0.00760266289068832</v>
      </c>
      <c r="N55" s="5" t="n">
        <f aca="false">L55/(1-0.183)</f>
        <v>0.00753752379615366</v>
      </c>
      <c r="O55" s="5" t="n">
        <v>0.00806975827209771</v>
      </c>
      <c r="P55" s="5" t="n">
        <v>0.00627433568575892</v>
      </c>
      <c r="Q55" s="5" t="n">
        <v>0.0082274780096646</v>
      </c>
      <c r="R55" s="5" t="n">
        <v>0.00802179105942299</v>
      </c>
      <c r="S55" s="4" t="n">
        <v>0.003884</v>
      </c>
      <c r="T55" s="4" t="n">
        <v>0.004331</v>
      </c>
      <c r="U55" s="4" t="n">
        <f aca="false">T55/(1-0.33)</f>
        <v>0.00646417910447761</v>
      </c>
      <c r="V55" s="4" t="n">
        <v>0.00884</v>
      </c>
      <c r="W55" s="4" t="n">
        <v>0.00884</v>
      </c>
      <c r="X55" s="4" t="n">
        <v>0.005868</v>
      </c>
      <c r="Y55" s="4" t="n">
        <v>0.0055746</v>
      </c>
      <c r="Z55" s="4" t="n">
        <v>0.005778</v>
      </c>
      <c r="AA55" s="4" t="n">
        <v>0.00563355</v>
      </c>
      <c r="AB55" s="4" t="n">
        <v>0.005198</v>
      </c>
      <c r="AC55" s="4" t="n">
        <v>0.0046592219</v>
      </c>
      <c r="AD55" s="4" t="n">
        <f aca="false">AC55/(1-0.1)</f>
        <v>0.00517691322222222</v>
      </c>
      <c r="AE55" s="4" t="n">
        <f aca="false">AC55/(1-0.15)</f>
        <v>0.00548143752941177</v>
      </c>
      <c r="AF55" s="4" t="n">
        <f aca="false">AC55/(1-0.2)</f>
        <v>0.005824027375</v>
      </c>
      <c r="AG55" s="4" t="n">
        <f aca="false">AC55/(1-0.24)</f>
        <v>0.00613055513157895</v>
      </c>
      <c r="AH55" s="4" t="n">
        <v>0.01244</v>
      </c>
      <c r="AI55" s="4" t="n">
        <v>0.007127</v>
      </c>
      <c r="AJ55" s="4" t="n">
        <v>0.00871</v>
      </c>
      <c r="AK55" s="4" t="n">
        <v>0.009022</v>
      </c>
      <c r="AL55" s="4" t="n">
        <v>0.005827</v>
      </c>
      <c r="AM55" s="4" t="n">
        <v>0.005363</v>
      </c>
      <c r="AN55" s="4" t="n">
        <v>0.008439</v>
      </c>
      <c r="AO55" s="4" t="n">
        <v>0.00708876</v>
      </c>
      <c r="AP55" s="4" t="n">
        <v>0.00700437</v>
      </c>
      <c r="AQ55" s="4" t="n">
        <v>0.00691998</v>
      </c>
      <c r="AR55" s="4" t="n">
        <v>0.00683559</v>
      </c>
      <c r="AS55" s="4" t="n">
        <v>0.006793395</v>
      </c>
      <c r="AT55" s="4" t="n">
        <v>0.0067512</v>
      </c>
      <c r="AU55" s="4" t="n">
        <v>0.01633</v>
      </c>
      <c r="AV55" s="4" t="n">
        <v>0.002916</v>
      </c>
      <c r="AW55" s="4" t="n">
        <v>0.015425</v>
      </c>
      <c r="AX55" s="4" t="n">
        <v>0.01512</v>
      </c>
      <c r="AY55" s="4" t="n">
        <v>0.003854</v>
      </c>
      <c r="AZ55" s="5" t="n">
        <v>0.01005</v>
      </c>
      <c r="BA55" s="5" t="n">
        <v>0.003088</v>
      </c>
      <c r="BB55" s="5" t="n">
        <v>0.002759</v>
      </c>
      <c r="BC55" s="5" t="n">
        <v>0.001219</v>
      </c>
      <c r="BD55" s="5" t="n">
        <v>0.02186</v>
      </c>
      <c r="BE55" s="5" t="n">
        <v>0.01216</v>
      </c>
      <c r="BF55" s="5" t="n">
        <v>0.0046575</v>
      </c>
      <c r="BG55" s="5" t="n">
        <f aca="false">BF55/(1-0.2)</f>
        <v>0.005821875</v>
      </c>
      <c r="BH55" s="5" t="n">
        <f aca="false">BF55/(1-0.25)</f>
        <v>0.00621</v>
      </c>
      <c r="BI55" s="5" t="n">
        <v>0.0032172</v>
      </c>
      <c r="BJ55" s="5" t="n">
        <v>0.007073</v>
      </c>
      <c r="BK55" s="5" t="n">
        <v>0.003848</v>
      </c>
      <c r="BL55" s="5" t="n">
        <v>0.00604144</v>
      </c>
      <c r="BM55" s="5" t="n">
        <v>0.0056789536</v>
      </c>
    </row>
    <row r="56" customFormat="false" ht="15.75" hidden="false" customHeight="true" outlineLevel="0" collapsed="false">
      <c r="A56" s="2" t="n">
        <v>54</v>
      </c>
      <c r="B56" s="2" t="n">
        <v>0.00814384</v>
      </c>
      <c r="C56" s="4" t="n">
        <v>0.008259160463</v>
      </c>
      <c r="D56" s="4" t="n">
        <v>0.00825916</v>
      </c>
      <c r="E56" s="4" t="n">
        <v>0.008828</v>
      </c>
      <c r="F56" s="4" t="n">
        <v>0.00882784</v>
      </c>
      <c r="G56" s="4" t="n">
        <v>0.008165752</v>
      </c>
      <c r="H56" s="4" t="n">
        <v>0.00835840740320101</v>
      </c>
      <c r="I56" s="4" t="n">
        <v>0.00850683</v>
      </c>
      <c r="J56" s="4" t="n">
        <v>0.0084217617</v>
      </c>
      <c r="K56" s="4" t="n">
        <v>0.0085068349809641</v>
      </c>
      <c r="L56" s="5" t="n">
        <v>0.00661638610248522</v>
      </c>
      <c r="M56" s="5" t="n">
        <f aca="false">L56/(1-0.19)</f>
        <v>0.00816837790430274</v>
      </c>
      <c r="N56" s="5" t="n">
        <f aca="false">L56/(1-0.183)</f>
        <v>0.00809839180230749</v>
      </c>
      <c r="O56" s="5" t="n">
        <v>0.00866870024363334</v>
      </c>
      <c r="P56" s="5" t="n">
        <v>0.00674057337228021</v>
      </c>
      <c r="Q56" s="5" t="n">
        <v>0.00883677343925804</v>
      </c>
      <c r="R56" s="5" t="n">
        <v>0.00861585410327659</v>
      </c>
      <c r="S56" s="4" t="n">
        <v>0.004203</v>
      </c>
      <c r="T56" s="4" t="n">
        <v>0.004698</v>
      </c>
      <c r="U56" s="4" t="n">
        <f aca="false">T56/(1-0.33)</f>
        <v>0.00701194029850746</v>
      </c>
      <c r="V56" s="4" t="n">
        <v>0.009682</v>
      </c>
      <c r="W56" s="4" t="n">
        <v>0.009682</v>
      </c>
      <c r="X56" s="4" t="n">
        <v>0.006428</v>
      </c>
      <c r="Y56" s="4" t="n">
        <v>0.0061066</v>
      </c>
      <c r="Z56" s="4" t="n">
        <v>0.006289</v>
      </c>
      <c r="AA56" s="4" t="n">
        <v>0.006131775</v>
      </c>
      <c r="AB56" s="4" t="n">
        <v>0.005591</v>
      </c>
      <c r="AC56" s="4" t="n">
        <v>0.005097523</v>
      </c>
      <c r="AD56" s="4" t="n">
        <f aca="false">AC56/(1-0.1)</f>
        <v>0.00566391444444444</v>
      </c>
      <c r="AE56" s="4" t="n">
        <f aca="false">AC56/(1-0.15)</f>
        <v>0.00599708588235294</v>
      </c>
      <c r="AF56" s="4" t="n">
        <f aca="false">AC56/(1-0.2)</f>
        <v>0.00637190375</v>
      </c>
      <c r="AG56" s="4" t="n">
        <f aca="false">AC56/(1-0.24)</f>
        <v>0.00670726710526316</v>
      </c>
      <c r="AH56" s="4" t="n">
        <v>0.01361</v>
      </c>
      <c r="AI56" s="4" t="n">
        <v>0.007806</v>
      </c>
      <c r="AJ56" s="4" t="n">
        <v>0.00956</v>
      </c>
      <c r="AK56" s="4" t="n">
        <v>0.009915</v>
      </c>
      <c r="AL56" s="4" t="n">
        <v>0.006447</v>
      </c>
      <c r="AM56" s="4" t="n">
        <v>0.005798</v>
      </c>
      <c r="AN56" s="4" t="n">
        <v>0.009261</v>
      </c>
      <c r="AO56" s="4" t="n">
        <v>0.00777924</v>
      </c>
      <c r="AP56" s="4" t="n">
        <v>0.00768663</v>
      </c>
      <c r="AQ56" s="4" t="n">
        <v>0.00759402</v>
      </c>
      <c r="AR56" s="4" t="n">
        <v>0.00750141</v>
      </c>
      <c r="AS56" s="4" t="n">
        <v>0.007455105</v>
      </c>
      <c r="AT56" s="4" t="n">
        <v>0.0074088</v>
      </c>
      <c r="AU56" s="4" t="n">
        <v>0.0174</v>
      </c>
      <c r="AV56" s="4" t="n">
        <v>0.003196</v>
      </c>
      <c r="AW56" s="4" t="n">
        <v>0.016881</v>
      </c>
      <c r="AX56" s="4" t="n">
        <v>0.01607</v>
      </c>
      <c r="AY56" s="4" t="n">
        <v>0.004278</v>
      </c>
      <c r="AZ56" s="5" t="n">
        <v>0.01082</v>
      </c>
      <c r="BA56" s="5" t="n">
        <v>0.003345</v>
      </c>
      <c r="BB56" s="5" t="n">
        <v>0.002985</v>
      </c>
      <c r="BC56" s="5" t="n">
        <v>0.001329</v>
      </c>
      <c r="BD56" s="5" t="n">
        <v>0.02325</v>
      </c>
      <c r="BE56" s="5" t="n">
        <v>0.01319</v>
      </c>
      <c r="BF56" s="5" t="n">
        <v>0.0050194</v>
      </c>
      <c r="BG56" s="5" t="n">
        <f aca="false">BF56/(1-0.2)</f>
        <v>0.00627425</v>
      </c>
      <c r="BH56" s="5" t="n">
        <f aca="false">BF56/(1-0.25)</f>
        <v>0.00669253333333333</v>
      </c>
      <c r="BI56" s="5" t="n">
        <v>0.0035536</v>
      </c>
      <c r="BJ56" s="5" t="n">
        <v>0.007675</v>
      </c>
      <c r="BK56" s="5" t="n">
        <v>0.004248</v>
      </c>
      <c r="BL56" s="5" t="n">
        <v>0.00667932</v>
      </c>
      <c r="BM56" s="5" t="n">
        <v>0.0062785608</v>
      </c>
    </row>
    <row r="57" customFormat="false" ht="15.75" hidden="false" customHeight="true" outlineLevel="0" collapsed="false">
      <c r="A57" s="2" t="n">
        <v>55</v>
      </c>
      <c r="B57" s="2" t="n">
        <v>0.00878735</v>
      </c>
      <c r="C57" s="4" t="n">
        <v>0.008909558442</v>
      </c>
      <c r="D57" s="4" t="n">
        <v>0.00890956</v>
      </c>
      <c r="E57" s="4" t="n">
        <v>0.009608</v>
      </c>
      <c r="F57" s="4" t="n">
        <v>0.00960776</v>
      </c>
      <c r="G57" s="4" t="n">
        <v>0.008887178</v>
      </c>
      <c r="H57" s="4" t="n">
        <v>0.00899123648060474</v>
      </c>
      <c r="I57" s="4" t="n">
        <v>0.00915104</v>
      </c>
      <c r="J57" s="4" t="n">
        <v>0.0090595296</v>
      </c>
      <c r="K57" s="4" t="n">
        <v>0.00915104439784623</v>
      </c>
      <c r="L57" s="5" t="n">
        <v>0.00711403560718815</v>
      </c>
      <c r="M57" s="5" t="n">
        <f aca="false">L57/(1-0.19)</f>
        <v>0.00878276000887425</v>
      </c>
      <c r="N57" s="5" t="n">
        <f aca="false">L57/(1-0.183)</f>
        <v>0.00870750992311891</v>
      </c>
      <c r="O57" s="5" t="n">
        <v>0.00931620796804767</v>
      </c>
      <c r="P57" s="5" t="n">
        <v>0.00724718726917883</v>
      </c>
      <c r="Q57" s="5" t="n">
        <v>0.00949588266281043</v>
      </c>
      <c r="R57" s="5" t="n">
        <v>0.00925848559624017</v>
      </c>
      <c r="S57" s="4" t="n">
        <v>0.004534</v>
      </c>
      <c r="T57" s="4" t="n">
        <v>0.005077</v>
      </c>
      <c r="U57" s="4" t="n">
        <f aca="false">T57/(1-0.33)</f>
        <v>0.00757761194029851</v>
      </c>
      <c r="V57" s="4" t="n">
        <v>0.010565</v>
      </c>
      <c r="W57" s="4" t="n">
        <v>0.010565</v>
      </c>
      <c r="X57" s="4" t="n">
        <v>0.007073</v>
      </c>
      <c r="Y57" s="4" t="n">
        <v>0.00671935</v>
      </c>
      <c r="Z57" s="4" t="n">
        <v>0.006812</v>
      </c>
      <c r="AA57" s="4" t="n">
        <v>0.0066417</v>
      </c>
      <c r="AB57" s="4" t="n">
        <v>0.005994</v>
      </c>
      <c r="AC57" s="4" t="n">
        <v>0.0055782956</v>
      </c>
      <c r="AD57" s="4" t="n">
        <f aca="false">AC57/(1-0.1)</f>
        <v>0.00619810622222222</v>
      </c>
      <c r="AE57" s="4" t="n">
        <f aca="false">AC57/(1-0.15)</f>
        <v>0.00656270070588235</v>
      </c>
      <c r="AF57" s="4" t="n">
        <f aca="false">AC57/(1-0.2)</f>
        <v>0.0069728695</v>
      </c>
      <c r="AG57" s="4" t="n">
        <f aca="false">AC57/(1-0.24)</f>
        <v>0.00733986263157895</v>
      </c>
      <c r="AH57" s="4" t="n">
        <v>0.01488</v>
      </c>
      <c r="AI57" s="4" t="n">
        <v>0.008519</v>
      </c>
      <c r="AJ57" s="4" t="n">
        <v>0.01047</v>
      </c>
      <c r="AK57" s="4" t="n">
        <v>0.010896</v>
      </c>
      <c r="AL57" s="4" t="n">
        <v>0.007129</v>
      </c>
      <c r="AM57" s="4" t="n">
        <v>0.006271</v>
      </c>
      <c r="AN57" s="4" t="n">
        <v>0.010124</v>
      </c>
      <c r="AO57" s="4" t="n">
        <v>0.00850416</v>
      </c>
      <c r="AP57" s="4" t="n">
        <v>0.00840292</v>
      </c>
      <c r="AQ57" s="4" t="n">
        <v>0.00830168</v>
      </c>
      <c r="AR57" s="4" t="n">
        <v>0.00820044</v>
      </c>
      <c r="AS57" s="4" t="n">
        <v>0.00814982</v>
      </c>
      <c r="AT57" s="4" t="n">
        <v>0.0080992</v>
      </c>
      <c r="AU57" s="4" t="n">
        <v>0.01857</v>
      </c>
      <c r="AV57" s="4" t="n">
        <v>0.003624</v>
      </c>
      <c r="AW57" s="4" t="n">
        <v>0.018483</v>
      </c>
      <c r="AX57" s="4" t="n">
        <v>0.01712</v>
      </c>
      <c r="AY57" s="4" t="n">
        <v>0.004758</v>
      </c>
      <c r="AZ57" s="5" t="n">
        <v>0.01161</v>
      </c>
      <c r="BA57" s="5" t="n">
        <v>0.003616</v>
      </c>
      <c r="BB57" s="5" t="n">
        <v>0.003221</v>
      </c>
      <c r="BC57" s="5" t="n">
        <v>0.00145</v>
      </c>
      <c r="BD57" s="5" t="n">
        <v>0.02477</v>
      </c>
      <c r="BE57" s="5" t="n">
        <v>0.01438</v>
      </c>
      <c r="BF57" s="5" t="n">
        <v>0.0055152</v>
      </c>
      <c r="BG57" s="5" t="n">
        <f aca="false">BF57/(1-0.2)</f>
        <v>0.006894</v>
      </c>
      <c r="BH57" s="5" t="n">
        <f aca="false">BF57/(1-0.25)</f>
        <v>0.0073536</v>
      </c>
      <c r="BI57" s="5" t="n">
        <v>0.003907</v>
      </c>
      <c r="BJ57" s="5" t="n">
        <v>0.008348</v>
      </c>
      <c r="BK57" s="5" t="n">
        <v>0.004691</v>
      </c>
      <c r="BL57" s="5" t="n">
        <v>0.00737977</v>
      </c>
      <c r="BM57" s="5" t="n">
        <v>0.0069369838</v>
      </c>
    </row>
    <row r="58" customFormat="false" ht="15.75" hidden="false" customHeight="true" outlineLevel="0" collapsed="false">
      <c r="A58" s="2" t="n">
        <v>56</v>
      </c>
      <c r="B58" s="2" t="n">
        <v>0.0094593</v>
      </c>
      <c r="C58" s="4" t="n">
        <v>0.009588377338</v>
      </c>
      <c r="D58" s="4" t="n">
        <v>0.00958838</v>
      </c>
      <c r="E58" s="4" t="n">
        <v>0.010449</v>
      </c>
      <c r="F58" s="4" t="n">
        <v>0.01044946</v>
      </c>
      <c r="G58" s="4" t="n">
        <v>0.0096657505</v>
      </c>
      <c r="H58" s="4" t="n">
        <v>0.00966910273050394</v>
      </c>
      <c r="I58" s="4" t="n">
        <v>0.00984039</v>
      </c>
      <c r="J58" s="4" t="n">
        <v>0.0097419861</v>
      </c>
      <c r="K58" s="4" t="n">
        <v>0.00984038522153911</v>
      </c>
      <c r="L58" s="5" t="n">
        <v>0.00765176137668814</v>
      </c>
      <c r="M58" s="5" t="n">
        <f aca="false">L58/(1-0.19)</f>
        <v>0.0094466189835656</v>
      </c>
      <c r="N58" s="5" t="n">
        <f aca="false">L58/(1-0.183)</f>
        <v>0.00936568099961828</v>
      </c>
      <c r="O58" s="5" t="n">
        <v>0.0100101211735115</v>
      </c>
      <c r="P58" s="5" t="n">
        <v>0.00779405707490018</v>
      </c>
      <c r="Q58" s="5" t="n">
        <v>0.0102013766483446</v>
      </c>
      <c r="R58" s="5" t="n">
        <v>0.00994634223213595</v>
      </c>
      <c r="S58" s="4" t="n">
        <v>0.004876</v>
      </c>
      <c r="T58" s="4" t="n">
        <v>0.005465</v>
      </c>
      <c r="U58" s="4" t="n">
        <f aca="false">T58/(1-0.33)</f>
        <v>0.00815671641791045</v>
      </c>
      <c r="V58" s="4" t="n">
        <v>0.011491</v>
      </c>
      <c r="W58" s="4" t="n">
        <v>0.011491</v>
      </c>
      <c r="X58" s="4" t="n">
        <v>0.007818</v>
      </c>
      <c r="Y58" s="4" t="n">
        <v>0.0074271</v>
      </c>
      <c r="Z58" s="4" t="n">
        <v>0.007353</v>
      </c>
      <c r="AA58" s="4" t="n">
        <v>0.007169175</v>
      </c>
      <c r="AB58" s="4" t="n">
        <v>0.006409</v>
      </c>
      <c r="AC58" s="4" t="n">
        <v>0.0061056374</v>
      </c>
      <c r="AD58" s="4" t="n">
        <f aca="false">AC58/(1-0.1)</f>
        <v>0.00678404155555556</v>
      </c>
      <c r="AE58" s="4" t="n">
        <f aca="false">AC58/(1-0.15)</f>
        <v>0.00718310282352941</v>
      </c>
      <c r="AF58" s="4" t="n">
        <f aca="false">AC58/(1-0.2)</f>
        <v>0.00763204675</v>
      </c>
      <c r="AG58" s="4" t="n">
        <f aca="false">AC58/(1-0.24)</f>
        <v>0.00803373342105263</v>
      </c>
      <c r="AH58" s="4" t="n">
        <v>0.01624</v>
      </c>
      <c r="AI58" s="4" t="n">
        <v>0.009262</v>
      </c>
      <c r="AJ58" s="4" t="n">
        <v>0.01146</v>
      </c>
      <c r="AK58" s="4" t="n">
        <v>0.011976</v>
      </c>
      <c r="AL58" s="4" t="n">
        <v>0.007876</v>
      </c>
      <c r="AM58" s="4" t="n">
        <v>0.006785</v>
      </c>
      <c r="AN58" s="4" t="n">
        <v>0.011028</v>
      </c>
      <c r="AO58" s="4" t="n">
        <v>0.00926352</v>
      </c>
      <c r="AP58" s="4" t="n">
        <v>0.00915324</v>
      </c>
      <c r="AQ58" s="4" t="n">
        <v>0.00904296</v>
      </c>
      <c r="AR58" s="4" t="n">
        <v>0.00893268</v>
      </c>
      <c r="AS58" s="4" t="n">
        <v>0.00887754</v>
      </c>
      <c r="AT58" s="4" t="n">
        <v>0.0088224</v>
      </c>
      <c r="AU58" s="4" t="n">
        <v>0.01989</v>
      </c>
      <c r="AV58" s="4" t="n">
        <v>0.0042</v>
      </c>
      <c r="AW58" s="4" t="n">
        <v>0.020246</v>
      </c>
      <c r="AX58" s="4" t="n">
        <v>0.01826</v>
      </c>
      <c r="AY58" s="4" t="n">
        <v>0.005322</v>
      </c>
      <c r="AZ58" s="5" t="n">
        <v>0.01249</v>
      </c>
      <c r="BA58" s="5" t="n">
        <v>0.003922</v>
      </c>
      <c r="BB58" s="5" t="n">
        <v>0.003469</v>
      </c>
      <c r="BC58" s="5" t="n">
        <v>0.001585</v>
      </c>
      <c r="BD58" s="5" t="n">
        <v>0.02643</v>
      </c>
      <c r="BE58" s="5" t="n">
        <v>0.01576</v>
      </c>
      <c r="BF58" s="5" t="n">
        <v>0.0059796</v>
      </c>
      <c r="BG58" s="5" t="n">
        <f aca="false">BF58/(1-0.2)</f>
        <v>0.0074745</v>
      </c>
      <c r="BH58" s="5" t="n">
        <f aca="false">BF58/(1-0.25)</f>
        <v>0.0079728</v>
      </c>
      <c r="BI58" s="5" t="n">
        <v>0.0042981</v>
      </c>
      <c r="BJ58" s="5" t="n">
        <v>0.009051</v>
      </c>
      <c r="BK58" s="5" t="n">
        <v>0.005181</v>
      </c>
      <c r="BL58" s="5" t="n">
        <v>0.00814888</v>
      </c>
      <c r="BM58" s="5" t="n">
        <v>0.0076599472</v>
      </c>
    </row>
    <row r="59" customFormat="false" ht="15.75" hidden="false" customHeight="true" outlineLevel="0" collapsed="false">
      <c r="A59" s="2" t="n">
        <v>57</v>
      </c>
      <c r="B59" s="2" t="n">
        <v>0.01015696</v>
      </c>
      <c r="C59" s="4" t="n">
        <v>0.01029304556</v>
      </c>
      <c r="D59" s="4" t="n">
        <v>0.01029305</v>
      </c>
      <c r="E59" s="4" t="n">
        <v>0.01132</v>
      </c>
      <c r="F59" s="4" t="n">
        <v>0.01131952</v>
      </c>
      <c r="G59" s="4" t="n">
        <v>0.010470556</v>
      </c>
      <c r="H59" s="4" t="n">
        <v>0.0103817125528467</v>
      </c>
      <c r="I59" s="4" t="n">
        <v>0.01056248</v>
      </c>
      <c r="J59" s="4" t="n">
        <v>0.0104568552</v>
      </c>
      <c r="K59" s="4" t="n">
        <v>0.0105624774744842</v>
      </c>
      <c r="L59" s="5" t="n">
        <v>0.00822195546757601</v>
      </c>
      <c r="M59" s="5" t="n">
        <f aca="false">L59/(1-0.19)</f>
        <v>0.0101505623056494</v>
      </c>
      <c r="N59" s="5" t="n">
        <f aca="false">L59/(1-0.183)</f>
        <v>0.0100635929835692</v>
      </c>
      <c r="O59" s="5" t="n">
        <v>0.0107384149986331</v>
      </c>
      <c r="P59" s="5" t="n">
        <v>0.00837224327775349</v>
      </c>
      <c r="Q59" s="5" t="n">
        <v>0.0109391085902109</v>
      </c>
      <c r="R59" s="5" t="n">
        <v>0.0106656308754556</v>
      </c>
      <c r="S59" s="4" t="n">
        <v>0.005228</v>
      </c>
      <c r="T59" s="4" t="n">
        <v>0.005861</v>
      </c>
      <c r="U59" s="4" t="n">
        <f aca="false">T59/(1-0.33)</f>
        <v>0.00874776119402985</v>
      </c>
      <c r="V59" s="4" t="n">
        <v>0.01246</v>
      </c>
      <c r="W59" s="4" t="n">
        <v>0.01246</v>
      </c>
      <c r="X59" s="4" t="n">
        <v>0.008678</v>
      </c>
      <c r="Y59" s="4" t="n">
        <v>0.0082441</v>
      </c>
      <c r="Z59" s="4" t="n">
        <v>0.007932</v>
      </c>
      <c r="AA59" s="4" t="n">
        <v>0.0077337</v>
      </c>
      <c r="AB59" s="4" t="n">
        <v>0.006839</v>
      </c>
      <c r="AC59" s="4" t="n">
        <v>0.0066842113</v>
      </c>
      <c r="AD59" s="4" t="n">
        <f aca="false">AC59/(1-0.1)</f>
        <v>0.00742690144444444</v>
      </c>
      <c r="AE59" s="4" t="n">
        <f aca="false">AC59/(1-0.15)</f>
        <v>0.007863778</v>
      </c>
      <c r="AF59" s="4" t="n">
        <f aca="false">AC59/(1-0.2)</f>
        <v>0.008355264125</v>
      </c>
      <c r="AG59" s="4" t="n">
        <f aca="false">AC59/(1-0.24)</f>
        <v>0.00879501486842105</v>
      </c>
      <c r="AH59" s="4" t="n">
        <v>0.0177</v>
      </c>
      <c r="AI59" s="4" t="n">
        <v>0.010039</v>
      </c>
      <c r="AJ59" s="4" t="n">
        <v>0.01249</v>
      </c>
      <c r="AK59" s="4" t="n">
        <v>0.013163</v>
      </c>
      <c r="AL59" s="4" t="n">
        <v>0.008688</v>
      </c>
      <c r="AM59" s="4" t="n">
        <v>0.007347</v>
      </c>
      <c r="AN59" s="4" t="n">
        <v>0.011976</v>
      </c>
      <c r="AO59" s="4" t="n">
        <v>0.01005984</v>
      </c>
      <c r="AP59" s="4" t="n">
        <v>0.00994008</v>
      </c>
      <c r="AQ59" s="4" t="n">
        <v>0.00982032</v>
      </c>
      <c r="AR59" s="4" t="n">
        <v>0.00970056</v>
      </c>
      <c r="AS59" s="4" t="n">
        <v>0.00964068</v>
      </c>
      <c r="AT59" s="4" t="n">
        <v>0.0095808</v>
      </c>
      <c r="AU59" s="4" t="n">
        <v>0.02134</v>
      </c>
      <c r="AV59" s="4" t="n">
        <v>0.004693</v>
      </c>
      <c r="AW59" s="4" t="n">
        <v>0.022184</v>
      </c>
      <c r="AX59" s="4" t="n">
        <v>0.01953</v>
      </c>
      <c r="AY59" s="4" t="n">
        <v>0.006001</v>
      </c>
      <c r="AZ59" s="5" t="n">
        <v>0.01352</v>
      </c>
      <c r="BA59" s="5" t="n">
        <v>0.004272</v>
      </c>
      <c r="BB59" s="5" t="n">
        <v>0.003731</v>
      </c>
      <c r="BC59" s="5" t="n">
        <v>0.001736</v>
      </c>
      <c r="BD59" s="5" t="n">
        <v>0.02829</v>
      </c>
      <c r="BE59" s="5" t="n">
        <v>0.01738</v>
      </c>
      <c r="BF59" s="5" t="n">
        <v>0.0065447</v>
      </c>
      <c r="BG59" s="5" t="n">
        <f aca="false">BF59/(1-0.2)</f>
        <v>0.008180875</v>
      </c>
      <c r="BH59" s="5" t="n">
        <f aca="false">BF59/(1-0.25)</f>
        <v>0.00872626666666667</v>
      </c>
      <c r="BI59" s="5" t="n">
        <v>0.0047163</v>
      </c>
      <c r="BJ59" s="5" t="n">
        <v>0.009822</v>
      </c>
      <c r="BK59" s="5" t="n">
        <v>0.005724</v>
      </c>
      <c r="BL59" s="5" t="n">
        <v>0.00899331</v>
      </c>
      <c r="BM59" s="5" t="n">
        <v>0.0084537114</v>
      </c>
    </row>
    <row r="60" customFormat="false" ht="15.75" hidden="false" customHeight="true" outlineLevel="0" collapsed="false">
      <c r="A60" s="2" t="n">
        <v>58</v>
      </c>
      <c r="B60" s="2" t="n">
        <v>0.01088751</v>
      </c>
      <c r="C60" s="4" t="n">
        <v>0.01103102684</v>
      </c>
      <c r="D60" s="4" t="n">
        <v>0.01103103</v>
      </c>
      <c r="E60" s="4" t="n">
        <v>0.012199</v>
      </c>
      <c r="F60" s="4" t="n">
        <v>0.01219856</v>
      </c>
      <c r="G60" s="4" t="n">
        <v>0.011283668</v>
      </c>
      <c r="H60" s="4" t="n">
        <v>0.011127087807767</v>
      </c>
      <c r="I60" s="4" t="n">
        <v>0.01131437</v>
      </c>
      <c r="J60" s="4" t="n">
        <v>0.0112012263</v>
      </c>
      <c r="K60" s="4" t="n">
        <v>0.0113143724619708</v>
      </c>
      <c r="L60" s="5" t="n">
        <v>0.00882478259578842</v>
      </c>
      <c r="M60" s="5" t="n">
        <f aca="false">L60/(1-0.19)</f>
        <v>0.0108947933281338</v>
      </c>
      <c r="N60" s="5" t="n">
        <f aca="false">L60/(1-0.183)</f>
        <v>0.0108014474856651</v>
      </c>
      <c r="O60" s="5" t="n">
        <v>0.011498993141895</v>
      </c>
      <c r="P60" s="5" t="n">
        <v>0.00898129395927267</v>
      </c>
      <c r="Q60" s="5" t="n">
        <v>0.0117059373196708</v>
      </c>
      <c r="R60" s="5" t="n">
        <v>0.011413288886679</v>
      </c>
      <c r="S60" s="4" t="n">
        <v>0.005593</v>
      </c>
      <c r="T60" s="4" t="n">
        <v>0.006265</v>
      </c>
      <c r="U60" s="4" t="n">
        <f aca="false">T60/(1-0.33)</f>
        <v>0.00935074626865672</v>
      </c>
      <c r="V60" s="4" t="n">
        <v>0.013476</v>
      </c>
      <c r="W60" s="4" t="n">
        <v>0.013476</v>
      </c>
      <c r="X60" s="4" t="n">
        <v>0.009666</v>
      </c>
      <c r="Y60" s="4" t="n">
        <v>0.0091827</v>
      </c>
      <c r="Z60" s="4" t="n">
        <v>0.008577</v>
      </c>
      <c r="AA60" s="4" t="n">
        <v>0.008362575</v>
      </c>
      <c r="AB60" s="4" t="n">
        <v>0.00729</v>
      </c>
      <c r="AC60" s="4" t="n">
        <v>0.0073184713</v>
      </c>
      <c r="AD60" s="4" t="n">
        <f aca="false">AC60/(1-0.1)</f>
        <v>0.00813163477777778</v>
      </c>
      <c r="AE60" s="4" t="n">
        <f aca="false">AC60/(1-0.15)</f>
        <v>0.00860996623529412</v>
      </c>
      <c r="AF60" s="4" t="n">
        <f aca="false">AC60/(1-0.2)</f>
        <v>0.009148089125</v>
      </c>
      <c r="AG60" s="4" t="n">
        <f aca="false">AC60/(1-0.24)</f>
        <v>0.0096295675</v>
      </c>
      <c r="AH60" s="4" t="n">
        <v>0.01924</v>
      </c>
      <c r="AI60" s="4" t="n">
        <v>0.010889</v>
      </c>
      <c r="AJ60" s="4" t="n">
        <v>0.01359</v>
      </c>
      <c r="AK60" s="4" t="n">
        <v>0.014468</v>
      </c>
      <c r="AL60" s="4" t="n">
        <v>0.00957</v>
      </c>
      <c r="AM60" s="4" t="n">
        <v>0.007962</v>
      </c>
      <c r="AN60" s="4" t="n">
        <v>0.012968</v>
      </c>
      <c r="AO60" s="4" t="n">
        <v>0.01089312</v>
      </c>
      <c r="AP60" s="4" t="n">
        <v>0.01076344</v>
      </c>
      <c r="AQ60" s="4" t="n">
        <v>0.01063376</v>
      </c>
      <c r="AR60" s="4" t="n">
        <v>0.01050408</v>
      </c>
      <c r="AS60" s="4" t="n">
        <v>0.01043924</v>
      </c>
      <c r="AT60" s="4" t="n">
        <v>0.0103744</v>
      </c>
      <c r="AU60" s="4" t="n">
        <v>0.02294</v>
      </c>
      <c r="AV60" s="4" t="n">
        <v>0.005273</v>
      </c>
      <c r="AW60" s="4" t="n">
        <v>0.024316</v>
      </c>
      <c r="AX60" s="4" t="n">
        <v>0.02091</v>
      </c>
      <c r="AY60" s="4" t="n">
        <v>0.006774</v>
      </c>
      <c r="AZ60" s="5" t="n">
        <v>0.01473</v>
      </c>
      <c r="BA60" s="5" t="n">
        <v>0.004681</v>
      </c>
      <c r="BB60" s="5" t="n">
        <v>0.004014</v>
      </c>
      <c r="BC60" s="5" t="n">
        <v>0.001905</v>
      </c>
      <c r="BD60" s="5" t="n">
        <v>0.03032</v>
      </c>
      <c r="BE60" s="5" t="n">
        <v>0.01933</v>
      </c>
      <c r="BF60" s="5" t="n">
        <v>0.0070133</v>
      </c>
      <c r="BG60" s="5" t="n">
        <f aca="false">BF60/(1-0.2)</f>
        <v>0.008766625</v>
      </c>
      <c r="BH60" s="5" t="n">
        <f aca="false">BF60/(1-0.25)</f>
        <v>0.00935106666666667</v>
      </c>
      <c r="BI60" s="5" t="n">
        <v>0.0051323</v>
      </c>
      <c r="BJ60" s="5" t="n">
        <v>0.010669</v>
      </c>
      <c r="BK60" s="5" t="n">
        <v>0.006326</v>
      </c>
      <c r="BL60" s="5" t="n">
        <v>0.00992037</v>
      </c>
      <c r="BM60" s="5" t="n">
        <v>0.0093251478</v>
      </c>
    </row>
    <row r="61" customFormat="false" ht="15.75" hidden="false" customHeight="true" outlineLevel="0" collapsed="false">
      <c r="A61" s="2" t="n">
        <v>59</v>
      </c>
      <c r="B61" s="2" t="n">
        <v>0.01166925</v>
      </c>
      <c r="C61" s="4" t="n">
        <v>0.01182097407</v>
      </c>
      <c r="D61" s="4" t="n">
        <v>0.01182097</v>
      </c>
      <c r="E61" s="4" t="n">
        <v>0.013085</v>
      </c>
      <c r="F61" s="4" t="n">
        <v>0.01308467</v>
      </c>
      <c r="G61" s="4" t="n">
        <v>0.01210331975</v>
      </c>
      <c r="H61" s="4" t="n">
        <v>0.0119168960398668</v>
      </c>
      <c r="I61" s="4" t="n">
        <v>0.01210886</v>
      </c>
      <c r="J61" s="4" t="n">
        <v>0.0119877714</v>
      </c>
      <c r="K61" s="4" t="n">
        <v>0.0121088611521831</v>
      </c>
      <c r="L61" s="5" t="n">
        <v>0.00947026694412596</v>
      </c>
      <c r="M61" s="5" t="n">
        <f aca="false">L61/(1-0.19)</f>
        <v>0.0116916875853407</v>
      </c>
      <c r="N61" s="5" t="n">
        <f aca="false">L61/(1-0.183)</f>
        <v>0.0115915140074981</v>
      </c>
      <c r="O61" s="5" t="n">
        <v>0.0123043716979625</v>
      </c>
      <c r="P61" s="5" t="n">
        <v>0.00963205455517541</v>
      </c>
      <c r="Q61" s="5" t="n">
        <v>0.0125156096473652</v>
      </c>
      <c r="R61" s="5" t="n">
        <v>0.012202719406181</v>
      </c>
      <c r="S61" s="4" t="n">
        <v>0.005988</v>
      </c>
      <c r="T61" s="4" t="n">
        <v>0.006694</v>
      </c>
      <c r="U61" s="4" t="n">
        <f aca="false">T61/(1-0.33)</f>
        <v>0.0099910447761194</v>
      </c>
      <c r="V61" s="4" t="n">
        <v>0.014542</v>
      </c>
      <c r="W61" s="4" t="n">
        <v>0.014542</v>
      </c>
      <c r="X61" s="4" t="n">
        <v>0.010782</v>
      </c>
      <c r="Y61" s="4" t="n">
        <v>0.0102429</v>
      </c>
      <c r="Z61" s="4" t="n">
        <v>0.009315</v>
      </c>
      <c r="AA61" s="4" t="n">
        <v>0.009082125</v>
      </c>
      <c r="AB61" s="4" t="n">
        <v>0.007782</v>
      </c>
      <c r="AC61" s="4" t="n">
        <v>0.008013604</v>
      </c>
      <c r="AD61" s="4" t="n">
        <f aca="false">AC61/(1-0.1)</f>
        <v>0.00890400444444445</v>
      </c>
      <c r="AE61" s="4" t="n">
        <f aca="false">AC61/(1-0.15)</f>
        <v>0.00942776941176471</v>
      </c>
      <c r="AF61" s="4" t="n">
        <f aca="false">AC61/(1-0.2)</f>
        <v>0.010017005</v>
      </c>
      <c r="AG61" s="4" t="n">
        <f aca="false">AC61/(1-0.24)</f>
        <v>0.0105442157894737</v>
      </c>
      <c r="AH61" s="4" t="n">
        <v>0.02087</v>
      </c>
      <c r="AI61" s="4" t="n">
        <v>0.011924</v>
      </c>
      <c r="AJ61" s="4" t="n">
        <v>0.01477</v>
      </c>
      <c r="AK61" s="4" t="n">
        <v>0.015902</v>
      </c>
      <c r="AL61" s="4" t="n">
        <v>0.010524</v>
      </c>
      <c r="AM61" s="4" t="n">
        <v>0.008636</v>
      </c>
      <c r="AN61" s="4" t="n">
        <v>0.014009</v>
      </c>
      <c r="AO61" s="4" t="n">
        <v>0.01176756</v>
      </c>
      <c r="AP61" s="4" t="n">
        <v>0.01162747</v>
      </c>
      <c r="AQ61" s="4" t="n">
        <v>0.01148738</v>
      </c>
      <c r="AR61" s="4" t="n">
        <v>0.01134729</v>
      </c>
      <c r="AS61" s="4" t="n">
        <v>0.011277245</v>
      </c>
      <c r="AT61" s="4" t="n">
        <v>0.0112072</v>
      </c>
      <c r="AU61" s="4" t="n">
        <v>0.02472</v>
      </c>
      <c r="AV61" s="4" t="n">
        <v>0.005945</v>
      </c>
      <c r="AW61" s="4" t="n">
        <v>0.026661</v>
      </c>
      <c r="AX61" s="4" t="n">
        <v>0.02244</v>
      </c>
      <c r="AY61" s="4" t="n">
        <v>0.007623</v>
      </c>
      <c r="AZ61" s="5" t="n">
        <v>0.01611</v>
      </c>
      <c r="BA61" s="5" t="n">
        <v>0.005146</v>
      </c>
      <c r="BB61" s="5" t="n">
        <v>0.004323</v>
      </c>
      <c r="BC61" s="5" t="n">
        <v>0.002097</v>
      </c>
      <c r="BD61" s="5" t="n">
        <v>0.03255</v>
      </c>
      <c r="BE61" s="5" t="n">
        <v>0.02168</v>
      </c>
      <c r="BF61" s="5" t="n">
        <v>0.0077397</v>
      </c>
      <c r="BG61" s="5" t="n">
        <f aca="false">BF61/(1-0.2)</f>
        <v>0.009674625</v>
      </c>
      <c r="BH61" s="5" t="n">
        <f aca="false">BF61/(1-0.25)</f>
        <v>0.0103196</v>
      </c>
      <c r="BI61" s="5" t="n">
        <v>0.0055507</v>
      </c>
      <c r="BJ61" s="5" t="n">
        <v>0.011548</v>
      </c>
      <c r="BK61" s="5" t="n">
        <v>0.006991</v>
      </c>
      <c r="BL61" s="5" t="n">
        <v>0.01093806</v>
      </c>
      <c r="BM61" s="5" t="n">
        <v>0.0102817764</v>
      </c>
    </row>
    <row r="62" customFormat="false" ht="15.75" hidden="false" customHeight="true" outlineLevel="0" collapsed="false">
      <c r="A62" s="2" t="n">
        <v>60</v>
      </c>
      <c r="B62" s="2" t="n">
        <v>0.01253243</v>
      </c>
      <c r="C62" s="4" t="n">
        <v>0.01269358694</v>
      </c>
      <c r="D62" s="4" t="n">
        <v>0.01269359</v>
      </c>
      <c r="E62" s="4" t="n">
        <v>0.014002</v>
      </c>
      <c r="F62" s="4" t="n">
        <v>0.0140018</v>
      </c>
      <c r="G62" s="4" t="n">
        <v>0.012951665</v>
      </c>
      <c r="H62" s="4" t="n">
        <v>0.0127700171884888</v>
      </c>
      <c r="I62" s="4" t="n">
        <v>0.01296545</v>
      </c>
      <c r="J62" s="4" t="n">
        <v>0.0128357955</v>
      </c>
      <c r="K62" s="4" t="n">
        <v>0.012965451997267</v>
      </c>
      <c r="L62" s="5" t="n">
        <v>0.01017096863148</v>
      </c>
      <c r="M62" s="5" t="n">
        <f aca="false">L62/(1-0.19)</f>
        <v>0.0125567513968889</v>
      </c>
      <c r="N62" s="5" t="n">
        <f aca="false">L62/(1-0.183)</f>
        <v>0.0124491660116034</v>
      </c>
      <c r="O62" s="5" t="n">
        <v>0.0131721989343957</v>
      </c>
      <c r="P62" s="5" t="n">
        <v>0.0103374758030823</v>
      </c>
      <c r="Q62" s="5" t="n">
        <v>0.013386462166896</v>
      </c>
      <c r="R62" s="5" t="n">
        <v>0.0130518006127236</v>
      </c>
      <c r="S62" s="4" t="n">
        <v>0.006428</v>
      </c>
      <c r="T62" s="4" t="n">
        <v>0.00717</v>
      </c>
      <c r="U62" s="4" t="n">
        <f aca="false">T62/(1-0.33)</f>
        <v>0.0107014925373134</v>
      </c>
      <c r="V62" s="4" t="n">
        <v>0.015662</v>
      </c>
      <c r="W62" s="4" t="n">
        <v>0.015662</v>
      </c>
      <c r="X62" s="4" t="n">
        <v>0.012027</v>
      </c>
      <c r="Y62" s="4" t="n">
        <v>0.01142565</v>
      </c>
      <c r="Z62" s="4" t="n">
        <v>0.010175</v>
      </c>
      <c r="AA62" s="4" t="n">
        <v>0.009920625</v>
      </c>
      <c r="AB62" s="4" t="n">
        <v>0.008338</v>
      </c>
      <c r="AC62" s="4" t="n">
        <v>0.0087755365</v>
      </c>
      <c r="AD62" s="4" t="n">
        <f aca="false">AC62/(1-0.1)</f>
        <v>0.00975059611111111</v>
      </c>
      <c r="AE62" s="4" t="n">
        <f aca="false">AC62/(1-0.15)</f>
        <v>0.0103241605882353</v>
      </c>
      <c r="AF62" s="4" t="n">
        <f aca="false">AC62/(1-0.2)</f>
        <v>0.010969420625</v>
      </c>
      <c r="AG62" s="4" t="n">
        <f aca="false">AC62/(1-0.24)</f>
        <v>0.0115467585526316</v>
      </c>
      <c r="AH62" s="4" t="n">
        <v>0.02262</v>
      </c>
      <c r="AI62" s="4" t="n">
        <v>0.013119</v>
      </c>
      <c r="AJ62" s="4" t="n">
        <v>0.01608</v>
      </c>
      <c r="AK62" s="4" t="n">
        <v>0.017478</v>
      </c>
      <c r="AL62" s="4" t="n">
        <v>0.011552</v>
      </c>
      <c r="AM62" s="4" t="n">
        <v>0.009374</v>
      </c>
      <c r="AN62" s="4" t="n">
        <v>0.015102</v>
      </c>
      <c r="AO62" s="4" t="n">
        <v>0.01268568</v>
      </c>
      <c r="AP62" s="4" t="n">
        <v>0.01253466</v>
      </c>
      <c r="AQ62" s="4" t="n">
        <v>0.01238364</v>
      </c>
      <c r="AR62" s="4" t="n">
        <v>0.01223262</v>
      </c>
      <c r="AS62" s="4" t="n">
        <v>0.01215711</v>
      </c>
      <c r="AT62" s="4" t="n">
        <v>0.0120816</v>
      </c>
      <c r="AU62" s="4" t="n">
        <v>0.02669</v>
      </c>
      <c r="AV62" s="4" t="n">
        <v>0.006747</v>
      </c>
      <c r="AW62" s="4" t="n">
        <v>0.029238</v>
      </c>
      <c r="AX62" s="4" t="n">
        <v>0.02411</v>
      </c>
      <c r="AY62" s="4" t="n">
        <v>0.008576</v>
      </c>
      <c r="AZ62" s="5" t="n">
        <v>0.01761</v>
      </c>
      <c r="BA62" s="5" t="n">
        <v>0.005662</v>
      </c>
      <c r="BB62" s="5" t="n">
        <v>0.00466</v>
      </c>
      <c r="BC62" s="5" t="n">
        <v>0.002315</v>
      </c>
      <c r="BD62" s="5" t="n">
        <v>0.03501</v>
      </c>
      <c r="BE62" s="5" t="n">
        <v>0.02422</v>
      </c>
      <c r="BF62" s="5" t="n">
        <v>0.0084372</v>
      </c>
      <c r="BG62" s="5" t="n">
        <f aca="false">BF62/(1-0.2)</f>
        <v>0.0105465</v>
      </c>
      <c r="BH62" s="5" t="n">
        <f aca="false">BF62/(1-0.25)</f>
        <v>0.0112496</v>
      </c>
      <c r="BI62" s="5" t="n">
        <v>0.0060008</v>
      </c>
      <c r="BJ62" s="5" t="n">
        <v>0.012458</v>
      </c>
      <c r="BK62" s="5" t="n">
        <v>0.007728</v>
      </c>
      <c r="BL62" s="5" t="n">
        <v>0.01205513</v>
      </c>
      <c r="BM62" s="5" t="n">
        <v>0.0113318222</v>
      </c>
    </row>
    <row r="63" customFormat="false" ht="15.75" hidden="false" customHeight="true" outlineLevel="0" collapsed="false">
      <c r="A63" s="2" t="n">
        <v>61</v>
      </c>
      <c r="B63" s="2" t="n">
        <v>0.0135203</v>
      </c>
      <c r="C63" s="4" t="n">
        <v>0.01369258128</v>
      </c>
      <c r="D63" s="4" t="n">
        <v>0.01369258</v>
      </c>
      <c r="E63" s="4" t="n">
        <v>0.015002</v>
      </c>
      <c r="F63" s="4" t="n">
        <v>0.0150016</v>
      </c>
      <c r="G63" s="4" t="n">
        <v>0.01387648</v>
      </c>
      <c r="H63" s="4" t="n">
        <v>0.0137033676281084</v>
      </c>
      <c r="I63" s="4" t="n">
        <v>0.01390402</v>
      </c>
      <c r="J63" s="4" t="n">
        <v>0.0137649798</v>
      </c>
      <c r="K63" s="4" t="n">
        <v>0.0139040190709169</v>
      </c>
      <c r="L63" s="5" t="n">
        <v>0.0109425855687841</v>
      </c>
      <c r="M63" s="5" t="n">
        <f aca="false">L63/(1-0.19)</f>
        <v>0.0135093648997335</v>
      </c>
      <c r="N63" s="5" t="n">
        <f aca="false">L63/(1-0.183)</f>
        <v>0.0133936175872511</v>
      </c>
      <c r="O63" s="5" t="n">
        <v>0.0141225726943139</v>
      </c>
      <c r="P63" s="5" t="n">
        <v>0.0111153832260191</v>
      </c>
      <c r="Q63" s="5" t="n">
        <v>0.0143418320705776</v>
      </c>
      <c r="R63" s="5" t="n">
        <v>0.0139832862688132</v>
      </c>
      <c r="S63" s="4" t="n">
        <v>0.006933</v>
      </c>
      <c r="T63" s="4" t="n">
        <v>0.007714</v>
      </c>
      <c r="U63" s="4" t="n">
        <f aca="false">T63/(1-0.33)</f>
        <v>0.0115134328358209</v>
      </c>
      <c r="V63" s="4" t="n">
        <v>0.016869</v>
      </c>
      <c r="W63" s="4" t="n">
        <v>0.016919</v>
      </c>
      <c r="X63" s="4" t="n">
        <v>0.013401</v>
      </c>
      <c r="Y63" s="4" t="n">
        <v>0.01273095</v>
      </c>
      <c r="Z63" s="4" t="n">
        <v>0.011182</v>
      </c>
      <c r="AA63" s="4" t="n">
        <v>0.01090245</v>
      </c>
      <c r="AB63" s="4" t="n">
        <v>0.008983</v>
      </c>
      <c r="AC63" s="4" t="n">
        <v>0.0096104779</v>
      </c>
      <c r="AD63" s="4" t="n">
        <f aca="false">AC63/(1-0.1)</f>
        <v>0.0106783087777778</v>
      </c>
      <c r="AE63" s="4" t="n">
        <f aca="false">AC63/(1-0.15)</f>
        <v>0.0113064445882353</v>
      </c>
      <c r="AF63" s="4" t="n">
        <f aca="false">AC63/(1-0.2)</f>
        <v>0.012013097375</v>
      </c>
      <c r="AG63" s="4" t="n">
        <f aca="false">AC63/(1-0.24)</f>
        <v>0.0126453656578947</v>
      </c>
      <c r="AH63" s="4" t="n">
        <v>0.02451</v>
      </c>
      <c r="AI63" s="4" t="n">
        <v>0.01444</v>
      </c>
      <c r="AJ63" s="4" t="n">
        <v>0.01754</v>
      </c>
      <c r="AK63" s="4" t="n">
        <v>0.019209</v>
      </c>
      <c r="AL63" s="4" t="n">
        <v>0.012657</v>
      </c>
      <c r="AM63" s="4" t="n">
        <v>0.010183</v>
      </c>
      <c r="AN63" s="4" t="n">
        <v>0.016219</v>
      </c>
      <c r="AO63" s="4" t="n">
        <v>0.01362396</v>
      </c>
      <c r="AP63" s="4" t="n">
        <v>0.01346177</v>
      </c>
      <c r="AQ63" s="4" t="n">
        <v>0.01329958</v>
      </c>
      <c r="AR63" s="4" t="n">
        <v>0.01313739</v>
      </c>
      <c r="AS63" s="4" t="n">
        <v>0.013056295</v>
      </c>
      <c r="AT63" s="4" t="n">
        <v>0.0129752</v>
      </c>
      <c r="AU63" s="4" t="n">
        <v>0.02888</v>
      </c>
      <c r="AV63" s="4" t="n">
        <v>0.007676</v>
      </c>
      <c r="AW63" s="4" t="n">
        <v>0.032071</v>
      </c>
      <c r="AX63" s="4" t="n">
        <v>0.02594</v>
      </c>
      <c r="AY63" s="4" t="n">
        <v>0.009663</v>
      </c>
      <c r="AZ63" s="5" t="n">
        <v>0.01917</v>
      </c>
      <c r="BA63" s="5" t="n">
        <v>0.006237</v>
      </c>
      <c r="BB63" s="5" t="n">
        <v>0.005034</v>
      </c>
      <c r="BC63" s="5" t="n">
        <v>0.002561</v>
      </c>
      <c r="BD63" s="5" t="n">
        <v>0.03772</v>
      </c>
      <c r="BE63" s="5" t="n">
        <v>0.0264</v>
      </c>
      <c r="BF63" s="5" t="n">
        <v>0.009212</v>
      </c>
      <c r="BG63" s="5" t="n">
        <f aca="false">BF63/(1-0.2)</f>
        <v>0.011515</v>
      </c>
      <c r="BH63" s="5" t="n">
        <f aca="false">BF63/(1-0.25)</f>
        <v>0.0122826666666667</v>
      </c>
      <c r="BI63" s="5" t="n">
        <v>0.0065038</v>
      </c>
      <c r="BJ63" s="5" t="n">
        <v>0.013403</v>
      </c>
      <c r="BK63" s="5" t="n">
        <v>0.008544</v>
      </c>
      <c r="BL63" s="5" t="n">
        <v>0.01328114</v>
      </c>
      <c r="BM63" s="5" t="n">
        <v>0.0124842716</v>
      </c>
    </row>
    <row r="64" customFormat="false" ht="15.75" hidden="false" customHeight="true" outlineLevel="0" collapsed="false">
      <c r="A64" s="2" t="n">
        <v>62</v>
      </c>
      <c r="B64" s="2" t="n">
        <v>0.01466815</v>
      </c>
      <c r="C64" s="4" t="n">
        <v>0.01485346143</v>
      </c>
      <c r="D64" s="4" t="n">
        <v>0.01485346</v>
      </c>
      <c r="E64" s="4" t="n">
        <v>0.016133</v>
      </c>
      <c r="F64" s="4" t="n">
        <v>0.01613308</v>
      </c>
      <c r="G64" s="4" t="n">
        <v>0.014923099</v>
      </c>
      <c r="H64" s="4" t="n">
        <v>0.014724424425984</v>
      </c>
      <c r="I64" s="4" t="n">
        <v>0.01493513</v>
      </c>
      <c r="J64" s="4" t="n">
        <v>0.0147857787</v>
      </c>
      <c r="K64" s="4" t="n">
        <v>0.0149351320436664</v>
      </c>
      <c r="L64" s="5" t="n">
        <v>0.0117969796005971</v>
      </c>
      <c r="M64" s="5" t="n">
        <f aca="false">L64/(1-0.19)</f>
        <v>0.0145641723464161</v>
      </c>
      <c r="N64" s="5" t="n">
        <f aca="false">L64/(1-0.183)</f>
        <v>0.0144393875160307</v>
      </c>
      <c r="O64" s="5" t="n">
        <v>0.0151683871576871</v>
      </c>
      <c r="P64" s="5" t="n">
        <v>0.0119799418763301</v>
      </c>
      <c r="Q64" s="5" t="n">
        <v>0.0153980209386934</v>
      </c>
      <c r="R64" s="5" t="n">
        <v>0.0150130704152261</v>
      </c>
      <c r="S64" s="4" t="n">
        <v>0.00752</v>
      </c>
      <c r="T64" s="4" t="n">
        <v>0.008348</v>
      </c>
      <c r="U64" s="4" t="n">
        <f aca="false">T64/(1-0.33)</f>
        <v>0.0124597014925373</v>
      </c>
      <c r="V64" s="4" t="n">
        <v>0.018199</v>
      </c>
      <c r="W64" s="4" t="n">
        <v>0.018348</v>
      </c>
      <c r="X64" s="4" t="n">
        <v>0.014901</v>
      </c>
      <c r="Y64" s="4" t="n">
        <v>0.01415595</v>
      </c>
      <c r="Z64" s="4" t="n">
        <v>0.01237</v>
      </c>
      <c r="AA64" s="4" t="n">
        <v>0.01206075</v>
      </c>
      <c r="AB64" s="4" t="n">
        <v>0.00974</v>
      </c>
      <c r="AC64" s="4" t="n">
        <v>0.0105256892</v>
      </c>
      <c r="AD64" s="4" t="n">
        <f aca="false">AC64/(1-0.1)</f>
        <v>0.0116952102222222</v>
      </c>
      <c r="AE64" s="4" t="n">
        <f aca="false">AC64/(1-0.15)</f>
        <v>0.0123831637647059</v>
      </c>
      <c r="AF64" s="4" t="n">
        <f aca="false">AC64/(1-0.2)</f>
        <v>0.0131571115</v>
      </c>
      <c r="AG64" s="4" t="n">
        <f aca="false">AC64/(1-0.24)</f>
        <v>0.0138495910526316</v>
      </c>
      <c r="AH64" s="4" t="n">
        <v>0.0266</v>
      </c>
      <c r="AI64" s="4" t="n">
        <v>0.015863</v>
      </c>
      <c r="AJ64" s="4" t="n">
        <v>0.01919</v>
      </c>
      <c r="AK64" s="4" t="n">
        <v>0.021112</v>
      </c>
      <c r="AL64" s="4" t="n">
        <v>0.013842</v>
      </c>
      <c r="AM64" s="4" t="n">
        <v>0.011067</v>
      </c>
      <c r="AN64" s="4" t="n">
        <v>0.017634</v>
      </c>
      <c r="AO64" s="4" t="n">
        <v>0.01481256</v>
      </c>
      <c r="AP64" s="4" t="n">
        <v>0.01463622</v>
      </c>
      <c r="AQ64" s="4" t="n">
        <v>0.01445988</v>
      </c>
      <c r="AR64" s="4" t="n">
        <v>0.01428354</v>
      </c>
      <c r="AS64" s="4" t="n">
        <v>0.01419537</v>
      </c>
      <c r="AT64" s="4" t="n">
        <v>0.0141072</v>
      </c>
      <c r="AU64" s="4" t="n">
        <v>0.03129</v>
      </c>
      <c r="AV64" s="4" t="n">
        <v>0.008757</v>
      </c>
      <c r="AW64" s="4" t="n">
        <v>0.035183</v>
      </c>
      <c r="AX64" s="4" t="n">
        <v>0.02796</v>
      </c>
      <c r="AY64" s="4" t="n">
        <v>0.010911</v>
      </c>
      <c r="AZ64" s="5" t="n">
        <v>0.02082</v>
      </c>
      <c r="BA64" s="5" t="n">
        <v>0.006854</v>
      </c>
      <c r="BB64" s="5" t="n">
        <v>0.005448</v>
      </c>
      <c r="BC64" s="5" t="n">
        <v>0.002836</v>
      </c>
      <c r="BD64" s="5" t="n">
        <v>0.04071</v>
      </c>
      <c r="BE64" s="5" t="n">
        <v>0.0283</v>
      </c>
      <c r="BF64" s="5" t="n">
        <v>0.0098629</v>
      </c>
      <c r="BG64" s="5" t="n">
        <f aca="false">BF64/(1-0.2)</f>
        <v>0.012328625</v>
      </c>
      <c r="BH64" s="5" t="n">
        <f aca="false">BF64/(1-0.25)</f>
        <v>0.0131505333333333</v>
      </c>
      <c r="BI64" s="5" t="n">
        <v>0.0070974</v>
      </c>
      <c r="BJ64" s="5" t="n">
        <v>0.01445</v>
      </c>
      <c r="BK64" s="5" t="n">
        <v>0.009447</v>
      </c>
      <c r="BL64" s="5" t="n">
        <v>0.01462658</v>
      </c>
      <c r="BM64" s="5" t="n">
        <v>0.0137489852</v>
      </c>
    </row>
    <row r="65" customFormat="false" ht="15.75" hidden="false" customHeight="true" outlineLevel="0" collapsed="false">
      <c r="A65" s="2" t="n">
        <v>63</v>
      </c>
      <c r="B65" s="2" t="n">
        <v>0.01600004</v>
      </c>
      <c r="C65" s="4" t="n">
        <v>0.01620010737</v>
      </c>
      <c r="D65" s="4" t="n">
        <v>0.01620011</v>
      </c>
      <c r="E65" s="4" t="n">
        <v>0.01744</v>
      </c>
      <c r="F65" s="4" t="n">
        <v>0.01744027</v>
      </c>
      <c r="G65" s="4" t="n">
        <v>0.01613224975</v>
      </c>
      <c r="H65" s="4" t="n">
        <v>0.0158464453537997</v>
      </c>
      <c r="I65" s="4" t="n">
        <v>0.01607421</v>
      </c>
      <c r="J65" s="4" t="n">
        <v>0.0159134679</v>
      </c>
      <c r="K65" s="4" t="n">
        <v>0.0160742149105355</v>
      </c>
      <c r="L65" s="5" t="n">
        <v>0.0127472641656233</v>
      </c>
      <c r="M65" s="5" t="n">
        <f aca="false">L65/(1-0.19)</f>
        <v>0.0157373631674361</v>
      </c>
      <c r="N65" s="5" t="n">
        <f aca="false">L65/(1-0.183)</f>
        <v>0.0156025265185107</v>
      </c>
      <c r="O65" s="5" t="n">
        <v>0.0163258901217277</v>
      </c>
      <c r="P65" s="5" t="n">
        <v>0.0129458206950975</v>
      </c>
      <c r="Q65" s="5" t="n">
        <v>0.0165736806095441</v>
      </c>
      <c r="R65" s="5" t="n">
        <v>0.0161593385943055</v>
      </c>
      <c r="S65" s="4" t="n">
        <v>0.008207</v>
      </c>
      <c r="T65" s="4" t="n">
        <v>0.009093</v>
      </c>
      <c r="U65" s="4" t="n">
        <f aca="false">T65/(1-0.33)</f>
        <v>0.0135716417910448</v>
      </c>
      <c r="V65" s="4" t="n">
        <v>0.019666</v>
      </c>
      <c r="W65" s="4" t="n">
        <v>0.019986</v>
      </c>
      <c r="X65" s="4" t="n">
        <v>0.016526</v>
      </c>
      <c r="Y65" s="4" t="n">
        <v>0.0156997</v>
      </c>
      <c r="Z65" s="4" t="n">
        <v>0.013768</v>
      </c>
      <c r="AA65" s="4" t="n">
        <v>0.0134238</v>
      </c>
      <c r="AB65" s="4" t="n">
        <v>0.01063</v>
      </c>
      <c r="AC65" s="4" t="n">
        <v>0.0115288397</v>
      </c>
      <c r="AD65" s="4" t="n">
        <f aca="false">AC65/(1-0.1)</f>
        <v>0.0128098218888889</v>
      </c>
      <c r="AE65" s="4" t="n">
        <f aca="false">AC65/(1-0.15)</f>
        <v>0.0135633408235294</v>
      </c>
      <c r="AF65" s="4" t="n">
        <f aca="false">AC65/(1-0.2)</f>
        <v>0.014411049625</v>
      </c>
      <c r="AG65" s="4" t="n">
        <f aca="false">AC65/(1-0.24)</f>
        <v>0.0151695259210526</v>
      </c>
      <c r="AH65" s="4" t="n">
        <v>0.02886</v>
      </c>
      <c r="AI65" s="4" t="n">
        <v>0.017413</v>
      </c>
      <c r="AJ65" s="4" t="n">
        <v>0.02106</v>
      </c>
      <c r="AK65" s="4" t="n">
        <v>0.023201</v>
      </c>
      <c r="AL65" s="4" t="n">
        <v>0.015108</v>
      </c>
      <c r="AM65" s="4" t="n">
        <v>0.011958</v>
      </c>
      <c r="AN65" s="4" t="n">
        <v>0.0191167</v>
      </c>
      <c r="AO65" s="4" t="n">
        <v>0.016058028</v>
      </c>
      <c r="AP65" s="4" t="n">
        <v>0.015866861</v>
      </c>
      <c r="AQ65" s="4" t="n">
        <v>0.015675694</v>
      </c>
      <c r="AR65" s="4" t="n">
        <v>0.015484527</v>
      </c>
      <c r="AS65" s="4" t="n">
        <v>0.0153889435</v>
      </c>
      <c r="AT65" s="4" t="n">
        <v>0.01529336</v>
      </c>
      <c r="AU65" s="4" t="n">
        <v>0.03394</v>
      </c>
      <c r="AV65" s="4" t="n">
        <v>0.010012</v>
      </c>
      <c r="AW65" s="4" t="n">
        <v>0.038601</v>
      </c>
      <c r="AX65" s="4" t="n">
        <v>0.03017</v>
      </c>
      <c r="AY65" s="4" t="n">
        <v>0.012335</v>
      </c>
      <c r="AZ65" s="5" t="n">
        <v>0.02252</v>
      </c>
      <c r="BA65" s="5" t="n">
        <v>0.00751</v>
      </c>
      <c r="BB65" s="5" t="n">
        <v>0.005909</v>
      </c>
      <c r="BC65" s="5" t="n">
        <v>0.003137</v>
      </c>
      <c r="BD65" s="5" t="n">
        <v>0.04339</v>
      </c>
      <c r="BE65" s="5" t="n">
        <v>0.02959</v>
      </c>
      <c r="BF65" s="5" t="n">
        <v>0.01069</v>
      </c>
      <c r="BG65" s="5" t="n">
        <f aca="false">BF65/(1-0.2)</f>
        <v>0.0133625</v>
      </c>
      <c r="BH65" s="5" t="n">
        <f aca="false">BF65/(1-0.25)</f>
        <v>0.0142533333333333</v>
      </c>
      <c r="BI65" s="5" t="n">
        <v>0.0078021</v>
      </c>
      <c r="BJ65" s="5" t="n">
        <v>0.015571</v>
      </c>
      <c r="BK65" s="5" t="n">
        <v>0.010447</v>
      </c>
      <c r="BL65" s="5" t="n">
        <v>0.01610287</v>
      </c>
      <c r="BM65" s="5" t="n">
        <v>0.0151366978</v>
      </c>
    </row>
    <row r="66" customFormat="false" ht="15.75" hidden="false" customHeight="true" outlineLevel="0" collapsed="false">
      <c r="A66" s="2" t="n">
        <v>64</v>
      </c>
      <c r="B66" s="2" t="n">
        <v>0.01750827</v>
      </c>
      <c r="C66" s="4" t="n">
        <v>0.01772398927</v>
      </c>
      <c r="D66" s="4" t="n">
        <v>0.01772399</v>
      </c>
      <c r="E66" s="4" t="n">
        <v>0.018939</v>
      </c>
      <c r="F66" s="4" t="n">
        <v>0.01893891</v>
      </c>
      <c r="G66" s="4" t="n">
        <v>0.01751849175</v>
      </c>
      <c r="H66" s="4" t="n">
        <v>0.0170795302818265</v>
      </c>
      <c r="I66" s="4" t="n">
        <v>0.01732992</v>
      </c>
      <c r="J66" s="4" t="n">
        <v>0.0171566208</v>
      </c>
      <c r="K66" s="4" t="n">
        <v>0.017329918831552</v>
      </c>
      <c r="L66" s="5" t="n">
        <v>0.0137994662940219</v>
      </c>
      <c r="M66" s="5" t="n">
        <f aca="false">L66/(1-0.19)</f>
        <v>0.0170363781407678</v>
      </c>
      <c r="N66" s="5" t="n">
        <f aca="false">L66/(1-0.183)</f>
        <v>0.0168904116205899</v>
      </c>
      <c r="O66" s="5" t="n">
        <v>0.0176030314635237</v>
      </c>
      <c r="P66" s="5" t="n">
        <v>0.0140179867078005</v>
      </c>
      <c r="Q66" s="5" t="n">
        <v>0.0178752185321687</v>
      </c>
      <c r="R66" s="5" t="n">
        <v>0.0174283380688645</v>
      </c>
      <c r="S66" s="4" t="n">
        <v>0.009008</v>
      </c>
      <c r="T66" s="4" t="n">
        <v>0.009968</v>
      </c>
      <c r="U66" s="4" t="n">
        <f aca="false">T66/(1-0.33)</f>
        <v>0.0148776119402985</v>
      </c>
      <c r="V66" s="4" t="n">
        <v>0.021283</v>
      </c>
      <c r="W66" s="4" t="n">
        <v>0.021868</v>
      </c>
      <c r="X66" s="4" t="n">
        <v>0.018286</v>
      </c>
      <c r="Y66" s="4" t="n">
        <v>0.0173717</v>
      </c>
      <c r="Z66" s="4" t="n">
        <v>0.015409</v>
      </c>
      <c r="AA66" s="4" t="n">
        <v>0.015023775</v>
      </c>
      <c r="AB66" s="4" t="n">
        <v>0.011664</v>
      </c>
      <c r="AC66" s="4" t="n">
        <v>0.0126271357</v>
      </c>
      <c r="AD66" s="4" t="n">
        <f aca="false">AC66/(1-0.1)</f>
        <v>0.0140301507777778</v>
      </c>
      <c r="AE66" s="4" t="n">
        <f aca="false">AC66/(1-0.15)</f>
        <v>0.0148554537647059</v>
      </c>
      <c r="AF66" s="4" t="n">
        <f aca="false">AC66/(1-0.2)</f>
        <v>0.015783919625</v>
      </c>
      <c r="AG66" s="4" t="n">
        <f aca="false">AC66/(1-0.24)</f>
        <v>0.0166146522368421</v>
      </c>
      <c r="AH66" s="4" t="n">
        <v>0.03131</v>
      </c>
      <c r="AI66" s="4" t="n">
        <v>0.019185</v>
      </c>
      <c r="AJ66" s="4" t="n">
        <v>0.02314</v>
      </c>
      <c r="AK66" s="4" t="n">
        <v>0.025495</v>
      </c>
      <c r="AL66" s="4" t="n">
        <v>0.01646</v>
      </c>
      <c r="AM66" s="4" t="n">
        <v>0.012818</v>
      </c>
      <c r="AN66" s="4" t="n">
        <v>0.020927</v>
      </c>
      <c r="AO66" s="4" t="n">
        <v>0.01757868</v>
      </c>
      <c r="AP66" s="4" t="n">
        <v>0.01736941</v>
      </c>
      <c r="AQ66" s="4" t="n">
        <v>0.01716014</v>
      </c>
      <c r="AR66" s="4" t="n">
        <v>0.01695087</v>
      </c>
      <c r="AS66" s="4" t="n">
        <v>0.016846235</v>
      </c>
      <c r="AT66" s="4" t="n">
        <v>0.0167416</v>
      </c>
      <c r="AU66" s="4" t="n">
        <v>0.03687</v>
      </c>
      <c r="AV66" s="4" t="n">
        <v>0.01128</v>
      </c>
      <c r="AW66" s="4" t="n">
        <v>0.042355</v>
      </c>
      <c r="AX66" s="4" t="n">
        <v>0.0326</v>
      </c>
      <c r="AY66" s="4" t="n">
        <v>0.013914</v>
      </c>
      <c r="AZ66" s="5" t="n">
        <v>0.02431</v>
      </c>
      <c r="BA66" s="5" t="n">
        <v>0.00822</v>
      </c>
      <c r="BB66" s="5" t="n">
        <v>0.006422</v>
      </c>
      <c r="BC66" s="5" t="n">
        <v>0.003468</v>
      </c>
      <c r="BD66" s="5" t="n">
        <v>0.04759</v>
      </c>
      <c r="BE66" s="5" t="n">
        <v>0.03113</v>
      </c>
      <c r="BF66" s="5" t="n">
        <v>0.0116459</v>
      </c>
      <c r="BG66" s="5" t="n">
        <f aca="false">BF66/(1-0.2)</f>
        <v>0.014557375</v>
      </c>
      <c r="BH66" s="5" t="n">
        <f aca="false">BF66/(1-0.25)</f>
        <v>0.0155278666666667</v>
      </c>
      <c r="BI66" s="5" t="n">
        <v>0.0086713</v>
      </c>
      <c r="BJ66" s="5" t="n">
        <v>0.016737</v>
      </c>
      <c r="BK66" s="5" t="n">
        <v>0.011553</v>
      </c>
      <c r="BL66" s="5" t="n">
        <v>0.01772252</v>
      </c>
      <c r="BM66" s="5" t="n">
        <v>0.0166591688</v>
      </c>
    </row>
    <row r="67" customFormat="false" ht="15.75" hidden="false" customHeight="true" outlineLevel="0" collapsed="false">
      <c r="A67" s="2" t="n">
        <v>65</v>
      </c>
      <c r="B67" s="2" t="n">
        <v>0.01914119</v>
      </c>
      <c r="C67" s="4" t="n">
        <v>0.01937174749</v>
      </c>
      <c r="D67" s="4" t="n">
        <v>0.01937175</v>
      </c>
      <c r="E67" s="4" t="n">
        <v>0.020607</v>
      </c>
      <c r="F67" s="4" t="n">
        <v>0.02060665</v>
      </c>
      <c r="G67" s="4" t="n">
        <v>0.01906115125</v>
      </c>
      <c r="H67" s="4" t="n">
        <v>0.0183992970003615</v>
      </c>
      <c r="I67" s="4" t="n">
        <v>0.01867506</v>
      </c>
      <c r="J67" s="4" t="n">
        <v>0.0184883094</v>
      </c>
      <c r="K67" s="4" t="n">
        <v>0.0186750596619197</v>
      </c>
      <c r="L67" s="5" t="n">
        <v>0.0149357209813054</v>
      </c>
      <c r="M67" s="5" t="n">
        <f aca="false">L67/(1-0.19)</f>
        <v>0.0184391617053153</v>
      </c>
      <c r="N67" s="5" t="n">
        <f aca="false">L67/(1-0.183)</f>
        <v>0.0182811762317079</v>
      </c>
      <c r="O67" s="5" t="n">
        <v>0.0189717484185606</v>
      </c>
      <c r="P67" s="5" t="n">
        <v>0.0151763459015659</v>
      </c>
      <c r="Q67" s="5" t="n">
        <v>0.0192711659589479</v>
      </c>
      <c r="R67" s="5" t="n">
        <v>0.0187893868099742</v>
      </c>
      <c r="S67" s="4" t="n">
        <v>0.00994</v>
      </c>
      <c r="T67" s="4" t="n">
        <v>0.010993</v>
      </c>
      <c r="U67" s="4" t="n">
        <f aca="false">T67/(1-0.33)</f>
        <v>0.0164074626865672</v>
      </c>
      <c r="V67" s="4" t="n">
        <v>0.023066</v>
      </c>
      <c r="W67" s="4" t="n">
        <v>0.024012</v>
      </c>
      <c r="X67" s="4" t="n">
        <v>0.020192</v>
      </c>
      <c r="Y67" s="4" t="n">
        <v>0.0191824</v>
      </c>
      <c r="Z67" s="4" t="n">
        <v>0.017324</v>
      </c>
      <c r="AA67" s="4" t="n">
        <v>0.0168909</v>
      </c>
      <c r="AB67" s="4" t="n">
        <v>0.012851</v>
      </c>
      <c r="AC67" s="4" t="n">
        <v>0.0138316328</v>
      </c>
      <c r="AD67" s="4" t="n">
        <f aca="false">AC67/(1-0.1)</f>
        <v>0.0153684808888889</v>
      </c>
      <c r="AE67" s="4" t="n">
        <f aca="false">AC67/(1-0.15)</f>
        <v>0.0162725091764706</v>
      </c>
      <c r="AF67" s="4" t="n">
        <f aca="false">AC67/(1-0.2)</f>
        <v>0.017289541</v>
      </c>
      <c r="AG67" s="4" t="n">
        <f aca="false">AC67/(1-0.24)</f>
        <v>0.0181995168421053</v>
      </c>
      <c r="AH67" s="4" t="n">
        <v>0.034</v>
      </c>
      <c r="AI67" s="4" t="n">
        <v>0.02126</v>
      </c>
      <c r="AJ67" s="4" t="n">
        <v>0.02542</v>
      </c>
      <c r="AK67" s="4" t="n">
        <v>0.028013</v>
      </c>
      <c r="AL67" s="4" t="n">
        <v>0.018071</v>
      </c>
      <c r="AM67" s="4" t="n">
        <v>0.013697</v>
      </c>
      <c r="AN67" s="4" t="n">
        <v>0.02294</v>
      </c>
      <c r="AO67" s="4" t="n">
        <v>0.0192696</v>
      </c>
      <c r="AP67" s="4" t="n">
        <v>0.0190402</v>
      </c>
      <c r="AQ67" s="4" t="n">
        <v>0.0188108</v>
      </c>
      <c r="AR67" s="4" t="n">
        <v>0.0185814</v>
      </c>
      <c r="AS67" s="4" t="n">
        <v>0.0184667</v>
      </c>
      <c r="AT67" s="4" t="n">
        <v>0.018352</v>
      </c>
      <c r="AU67" s="4" t="n">
        <v>0.04013</v>
      </c>
      <c r="AV67" s="4" t="n">
        <v>0.012737</v>
      </c>
      <c r="AW67" s="4" t="n">
        <v>0.046475</v>
      </c>
      <c r="AX67" s="4" t="n">
        <v>0.03527</v>
      </c>
      <c r="AY67" s="4" t="n">
        <v>0.015629</v>
      </c>
      <c r="AZ67" s="5" t="n">
        <v>0.02622</v>
      </c>
      <c r="BA67" s="5" t="n">
        <v>0.009007</v>
      </c>
      <c r="BB67" s="5" t="n">
        <v>0.006988</v>
      </c>
      <c r="BC67" s="5" t="n">
        <v>0.003835</v>
      </c>
      <c r="BD67" s="5" t="n">
        <v>0.05156</v>
      </c>
      <c r="BE67" s="5" t="n">
        <v>0.0329</v>
      </c>
      <c r="BF67" s="5" t="n">
        <v>0.012549</v>
      </c>
      <c r="BG67" s="5" t="n">
        <f aca="false">BF67/(1-0.2)</f>
        <v>0.01568625</v>
      </c>
      <c r="BH67" s="5" t="n">
        <f aca="false">BF67/(1-0.25)</f>
        <v>0.016732</v>
      </c>
      <c r="BI67" s="5" t="n">
        <v>0.0095833</v>
      </c>
      <c r="BJ67" s="5" t="n">
        <v>0.017897</v>
      </c>
      <c r="BK67" s="5" t="n">
        <v>0.012777</v>
      </c>
      <c r="BL67" s="5" t="n">
        <v>0.01949917</v>
      </c>
      <c r="BM67" s="5" t="n">
        <v>0.0183292198</v>
      </c>
    </row>
    <row r="68" customFormat="false" ht="15.75" hidden="false" customHeight="true" outlineLevel="0" collapsed="false">
      <c r="A68" s="2" t="n">
        <v>66</v>
      </c>
      <c r="B68" s="2" t="n">
        <v>0.02082641</v>
      </c>
      <c r="C68" s="4" t="n">
        <v>0.02106904418</v>
      </c>
      <c r="D68" s="4" t="n">
        <v>0.02106904</v>
      </c>
      <c r="E68" s="4" t="n">
        <v>0.022402</v>
      </c>
      <c r="F68" s="4" t="n">
        <v>0.02240209</v>
      </c>
      <c r="G68" s="4" t="n">
        <v>0.02072193325</v>
      </c>
      <c r="H68" s="4" t="n">
        <v>0.0198422835510925</v>
      </c>
      <c r="I68" s="4" t="n">
        <v>0.0201432</v>
      </c>
      <c r="J68" s="4" t="n">
        <v>0.019941768</v>
      </c>
      <c r="K68" s="4" t="n">
        <v>0.0201431999312614</v>
      </c>
      <c r="L68" s="5" t="n">
        <v>0.0161775680243932</v>
      </c>
      <c r="M68" s="5" t="n">
        <f aca="false">L68/(1-0.19)</f>
        <v>0.0199723062029546</v>
      </c>
      <c r="N68" s="5" t="n">
        <f aca="false">L68/(1-0.183)</f>
        <v>0.0198011848523785</v>
      </c>
      <c r="O68" s="5" t="n">
        <v>0.0204639560388485</v>
      </c>
      <c r="P68" s="5" t="n">
        <v>0.0164404993288517</v>
      </c>
      <c r="Q68" s="5" t="n">
        <v>0.0207904838833347</v>
      </c>
      <c r="R68" s="5" t="n">
        <v>0.0202707217862513</v>
      </c>
      <c r="S68" s="4" t="n">
        <v>0.011016</v>
      </c>
      <c r="T68" s="4" t="n">
        <v>0.012188</v>
      </c>
      <c r="U68" s="4" t="n">
        <f aca="false">T68/(1-0.33)</f>
        <v>0.0181910447761194</v>
      </c>
      <c r="V68" s="4" t="n">
        <v>0.02503</v>
      </c>
      <c r="W68" s="4" t="n">
        <v>0.026412</v>
      </c>
      <c r="X68" s="4" t="n">
        <v>0.022256</v>
      </c>
      <c r="Y68" s="4" t="n">
        <v>0.0211432</v>
      </c>
      <c r="Z68" s="4" t="n">
        <v>0.019532</v>
      </c>
      <c r="AA68" s="4" t="n">
        <v>0.0190437</v>
      </c>
      <c r="AB68" s="4" t="n">
        <v>0.014199</v>
      </c>
      <c r="AC68" s="4" t="n">
        <v>0.0151510872</v>
      </c>
      <c r="AD68" s="4" t="n">
        <f aca="false">AC68/(1-0.1)</f>
        <v>0.0168345413333333</v>
      </c>
      <c r="AE68" s="4" t="n">
        <f aca="false">AC68/(1-0.15)</f>
        <v>0.0178248084705882</v>
      </c>
      <c r="AF68" s="4" t="n">
        <f aca="false">AC68/(1-0.2)</f>
        <v>0.018938859</v>
      </c>
      <c r="AG68" s="4" t="n">
        <f aca="false">AC68/(1-0.24)</f>
        <v>0.0199356410526316</v>
      </c>
      <c r="AH68" s="4" t="n">
        <v>0.037</v>
      </c>
      <c r="AI68" s="4" t="n">
        <v>0.023643</v>
      </c>
      <c r="AJ68" s="4" t="n">
        <v>0.02785</v>
      </c>
      <c r="AK68" s="4" t="n">
        <v>0.030776</v>
      </c>
      <c r="AL68" s="4" t="n">
        <v>0.020031</v>
      </c>
      <c r="AM68" s="4" t="n">
        <v>0.01464</v>
      </c>
      <c r="AN68" s="4" t="n">
        <v>0.025212</v>
      </c>
      <c r="AO68" s="4" t="n">
        <v>0.02117808</v>
      </c>
      <c r="AP68" s="4" t="n">
        <v>0.02092596</v>
      </c>
      <c r="AQ68" s="4" t="n">
        <v>0.02067384</v>
      </c>
      <c r="AR68" s="4" t="n">
        <v>0.02042172</v>
      </c>
      <c r="AS68" s="4" t="n">
        <v>0.02029566</v>
      </c>
      <c r="AT68" s="4" t="n">
        <v>0.0201696</v>
      </c>
      <c r="AU68" s="4" t="n">
        <v>0.04371</v>
      </c>
      <c r="AV68" s="4" t="n">
        <v>0.014409</v>
      </c>
      <c r="AW68" s="4" t="n">
        <v>0.050995</v>
      </c>
      <c r="AX68" s="4" t="n">
        <v>0.03819</v>
      </c>
      <c r="AY68" s="4" t="n">
        <v>0.017462</v>
      </c>
      <c r="AZ68" s="5" t="n">
        <v>0.02828</v>
      </c>
      <c r="BA68" s="5" t="n">
        <v>0.009497</v>
      </c>
      <c r="BB68" s="5" t="n">
        <v>0.00761</v>
      </c>
      <c r="BC68" s="5" t="n">
        <v>0.004254</v>
      </c>
      <c r="BD68" s="5" t="n">
        <v>0.0559</v>
      </c>
      <c r="BE68" s="5" t="n">
        <v>0.03484</v>
      </c>
      <c r="BF68" s="5" t="n">
        <v>0.0135129</v>
      </c>
      <c r="BG68" s="5" t="n">
        <f aca="false">BF68/(1-0.2)</f>
        <v>0.016891125</v>
      </c>
      <c r="BH68" s="5" t="n">
        <f aca="false">BF68/(1-0.25)</f>
        <v>0.0180172</v>
      </c>
      <c r="BI68" s="5" t="n">
        <v>0.0105349</v>
      </c>
      <c r="BJ68" s="5" t="n">
        <v>0.019017</v>
      </c>
      <c r="BK68" s="5" t="n">
        <v>0.014132</v>
      </c>
      <c r="BL68" s="5" t="n">
        <v>0.02144771</v>
      </c>
      <c r="BM68" s="5" t="n">
        <v>0.0201608474</v>
      </c>
    </row>
    <row r="69" customFormat="false" ht="15.75" hidden="false" customHeight="true" outlineLevel="0" collapsed="false">
      <c r="A69" s="2" t="n">
        <v>67</v>
      </c>
      <c r="B69" s="2" t="n">
        <v>0.02247295</v>
      </c>
      <c r="C69" s="4" t="n">
        <v>0.02272296473</v>
      </c>
      <c r="D69" s="4" t="n">
        <v>0.02272296</v>
      </c>
      <c r="E69" s="4" t="n">
        <v>0.024263</v>
      </c>
      <c r="F69" s="4" t="n">
        <v>0.02426259</v>
      </c>
      <c r="G69" s="4" t="n">
        <v>0.02244289575</v>
      </c>
      <c r="H69" s="4" t="n">
        <v>0.0214896691400852</v>
      </c>
      <c r="I69" s="4" t="n">
        <v>0.02181495</v>
      </c>
      <c r="J69" s="4" t="n">
        <v>0.0215968005</v>
      </c>
      <c r="K69" s="4" t="n">
        <v>0.0218149541309049</v>
      </c>
      <c r="L69" s="5" t="n">
        <v>0.0175782647994453</v>
      </c>
      <c r="M69" s="5" t="n">
        <f aca="false">L69/(1-0.19)</f>
        <v>0.0217015614807967</v>
      </c>
      <c r="N69" s="5" t="n">
        <f aca="false">L69/(1-0.183)</f>
        <v>0.0215156239895292</v>
      </c>
      <c r="O69" s="5" t="n">
        <v>0.02215923713843</v>
      </c>
      <c r="P69" s="5" t="n">
        <v>0.0178637575194583</v>
      </c>
      <c r="Q69" s="5" t="n">
        <v>0.0225128710716144</v>
      </c>
      <c r="R69" s="5" t="n">
        <v>0.021950049294824</v>
      </c>
      <c r="S69" s="4" t="n">
        <v>0.012251</v>
      </c>
      <c r="T69" s="4" t="n">
        <v>0.013572</v>
      </c>
      <c r="U69" s="4" t="n">
        <f aca="false">T69/(1-0.33)</f>
        <v>0.0202567164179105</v>
      </c>
      <c r="V69" s="4" t="n">
        <v>0.027193</v>
      </c>
      <c r="W69" s="4" t="n">
        <v>0.029045</v>
      </c>
      <c r="X69" s="4" t="n">
        <v>0.024491</v>
      </c>
      <c r="Y69" s="4" t="n">
        <v>0.02326645</v>
      </c>
      <c r="Z69" s="4" t="n">
        <v>0.022004</v>
      </c>
      <c r="AA69" s="4" t="n">
        <v>0.0214539</v>
      </c>
      <c r="AB69" s="4" t="n">
        <v>0.015717</v>
      </c>
      <c r="AC69" s="4" t="n">
        <v>0.0165960639</v>
      </c>
      <c r="AD69" s="4" t="n">
        <f aca="false">AC69/(1-0.1)</f>
        <v>0.018440071</v>
      </c>
      <c r="AE69" s="4" t="n">
        <f aca="false">AC69/(1-0.15)</f>
        <v>0.0195247810588235</v>
      </c>
      <c r="AF69" s="4" t="n">
        <f aca="false">AC69/(1-0.2)</f>
        <v>0.020745079875</v>
      </c>
      <c r="AG69" s="4" t="n">
        <f aca="false">AC69/(1-0.24)</f>
        <v>0.0218369261842105</v>
      </c>
      <c r="AH69" s="4" t="n">
        <v>0.04032</v>
      </c>
      <c r="AI69" s="4" t="n">
        <v>0.026316</v>
      </c>
      <c r="AJ69" s="4" t="n">
        <v>0.03044</v>
      </c>
      <c r="AK69" s="4" t="n">
        <v>0.033807</v>
      </c>
      <c r="AL69" s="4" t="n">
        <v>0.022342</v>
      </c>
      <c r="AM69" s="4" t="n">
        <v>0.015691</v>
      </c>
      <c r="AN69" s="4" t="n">
        <v>0.027729</v>
      </c>
      <c r="AO69" s="4" t="n">
        <v>0.02329236</v>
      </c>
      <c r="AP69" s="4" t="n">
        <v>0.02301507</v>
      </c>
      <c r="AQ69" s="4" t="n">
        <v>0.02273778</v>
      </c>
      <c r="AR69" s="4" t="n">
        <v>0.02246049</v>
      </c>
      <c r="AS69" s="4" t="n">
        <v>0.022321845</v>
      </c>
      <c r="AT69" s="4" t="n">
        <v>0.0221832</v>
      </c>
      <c r="AU69" s="4" t="n">
        <v>0.04765</v>
      </c>
      <c r="AV69" s="4" t="n">
        <v>0.016075</v>
      </c>
      <c r="AW69" s="4" t="n">
        <v>0.055953</v>
      </c>
      <c r="AX69" s="4" t="n">
        <v>0.0414</v>
      </c>
      <c r="AY69" s="4" t="n">
        <v>0.019391</v>
      </c>
      <c r="AZ69" s="5" t="n">
        <v>0.03053</v>
      </c>
      <c r="BA69" s="5" t="n">
        <v>0.010085</v>
      </c>
      <c r="BB69" s="5" t="n">
        <v>0.008292</v>
      </c>
      <c r="BC69" s="5" t="n">
        <v>0.00474</v>
      </c>
      <c r="BD69" s="5" t="n">
        <v>0.06069</v>
      </c>
      <c r="BE69" s="5" t="n">
        <v>0.03697</v>
      </c>
      <c r="BF69" s="5" t="n">
        <v>0.0143795</v>
      </c>
      <c r="BG69" s="5" t="n">
        <f aca="false">BF69/(1-0.2)</f>
        <v>0.017974375</v>
      </c>
      <c r="BH69" s="5" t="n">
        <f aca="false">BF69/(1-0.25)</f>
        <v>0.0191726666666667</v>
      </c>
      <c r="BI69" s="5" t="n">
        <v>0.0114564</v>
      </c>
      <c r="BJ69" s="5" t="n">
        <v>0.020213</v>
      </c>
      <c r="BK69" s="5" t="n">
        <v>0.01563</v>
      </c>
      <c r="BL69" s="5" t="n">
        <v>0.02358436</v>
      </c>
      <c r="BM69" s="5" t="n">
        <v>0.0221692984</v>
      </c>
    </row>
    <row r="70" customFormat="false" ht="15.75" hidden="false" customHeight="true" outlineLevel="0" collapsed="false">
      <c r="A70" s="2" t="n">
        <v>68</v>
      </c>
      <c r="B70" s="2" t="n">
        <v>0.02403258</v>
      </c>
      <c r="C70" s="4" t="n">
        <v>0.02428464894</v>
      </c>
      <c r="D70" s="4" t="n">
        <v>0.02428465</v>
      </c>
      <c r="E70" s="4" t="n">
        <v>0.026153</v>
      </c>
      <c r="F70" s="4" t="n">
        <v>0.02615271</v>
      </c>
      <c r="G70" s="4" t="n">
        <v>0.02419125675</v>
      </c>
      <c r="H70" s="4" t="n">
        <v>0.0233883057542986</v>
      </c>
      <c r="I70" s="4" t="n">
        <v>0.0237359</v>
      </c>
      <c r="J70" s="4" t="n">
        <v>0.023498541</v>
      </c>
      <c r="K70" s="4" t="n">
        <v>0.0237359016591968</v>
      </c>
      <c r="L70" s="5" t="n">
        <v>0.0191675796845212</v>
      </c>
      <c r="M70" s="5" t="n">
        <f aca="false">L70/(1-0.19)</f>
        <v>0.0236636786228656</v>
      </c>
      <c r="N70" s="5" t="n">
        <f aca="false">L70/(1-0.183)</f>
        <v>0.0234609298464151</v>
      </c>
      <c r="O70" s="5" t="n">
        <v>0.0241023035143931</v>
      </c>
      <c r="P70" s="5" t="n">
        <v>0.0194752162647953</v>
      </c>
      <c r="Q70" s="5" t="n">
        <v>0.0244819769715572</v>
      </c>
      <c r="R70" s="5" t="n">
        <v>0.0238699275472682</v>
      </c>
      <c r="S70" s="4" t="n">
        <v>0.013657</v>
      </c>
      <c r="T70" s="4" t="n">
        <v>0.01516</v>
      </c>
      <c r="U70" s="4" t="n">
        <f aca="false">T70/(1-0.33)</f>
        <v>0.0226268656716418</v>
      </c>
      <c r="V70" s="4" t="n">
        <v>0.029577</v>
      </c>
      <c r="W70" s="4" t="n">
        <v>0.031867</v>
      </c>
      <c r="X70" s="4" t="n">
        <v>0.026911</v>
      </c>
      <c r="Y70" s="4" t="n">
        <v>0.02556545</v>
      </c>
      <c r="Z70" s="4" t="n">
        <v>0.024699</v>
      </c>
      <c r="AA70" s="4" t="n">
        <v>0.024081525</v>
      </c>
      <c r="AB70" s="4" t="n">
        <v>0.017414</v>
      </c>
      <c r="AC70" s="4" t="n">
        <v>0.018178971</v>
      </c>
      <c r="AD70" s="4" t="n">
        <f aca="false">AC70/(1-0.1)</f>
        <v>0.0201988566666667</v>
      </c>
      <c r="AE70" s="4" t="n">
        <f aca="false">AC70/(1-0.15)</f>
        <v>0.0213870247058824</v>
      </c>
      <c r="AF70" s="4" t="n">
        <f aca="false">AC70/(1-0.2)</f>
        <v>0.02272371375</v>
      </c>
      <c r="AG70" s="4" t="n">
        <f aca="false">AC70/(1-0.24)</f>
        <v>0.0239196986842105</v>
      </c>
      <c r="AH70" s="4" t="n">
        <v>0.04401</v>
      </c>
      <c r="AI70" s="4" t="n">
        <v>0.029188</v>
      </c>
      <c r="AJ70" s="4" t="n">
        <v>0.03319</v>
      </c>
      <c r="AK70" s="4" t="n">
        <v>0.037131</v>
      </c>
      <c r="AL70" s="4" t="n">
        <v>0.025002</v>
      </c>
      <c r="AM70" s="4" t="n">
        <v>0.016891</v>
      </c>
      <c r="AN70" s="4" t="n">
        <v>0.030456</v>
      </c>
      <c r="AO70" s="4" t="n">
        <v>0.02558304</v>
      </c>
      <c r="AP70" s="4" t="n">
        <v>0.02527848</v>
      </c>
      <c r="AQ70" s="4" t="n">
        <v>0.02497392</v>
      </c>
      <c r="AR70" s="4" t="n">
        <v>0.02466936</v>
      </c>
      <c r="AS70" s="4" t="n">
        <v>0.02451708</v>
      </c>
      <c r="AT70" s="4" t="n">
        <v>0.0243648</v>
      </c>
      <c r="AU70" s="4" t="n">
        <v>0.052</v>
      </c>
      <c r="AV70" s="4" t="n">
        <v>0.017871</v>
      </c>
      <c r="AW70" s="4" t="n">
        <v>0.061387</v>
      </c>
      <c r="AX70" s="4" t="n">
        <v>0.04491</v>
      </c>
      <c r="AY70" s="4" t="n">
        <v>0.021354</v>
      </c>
      <c r="AZ70" s="5" t="n">
        <v>0.03301</v>
      </c>
      <c r="BA70" s="5" t="n">
        <v>0.010787</v>
      </c>
      <c r="BB70" s="5" t="n">
        <v>0.009046</v>
      </c>
      <c r="BC70" s="5" t="n">
        <v>0.005302</v>
      </c>
      <c r="BD70" s="5" t="n">
        <v>0.06595</v>
      </c>
      <c r="BE70" s="5" t="n">
        <v>0.0393</v>
      </c>
      <c r="BF70" s="5" t="n">
        <v>0.0156326</v>
      </c>
      <c r="BG70" s="5" t="n">
        <f aca="false">BF70/(1-0.2)</f>
        <v>0.01954075</v>
      </c>
      <c r="BH70" s="5" t="n">
        <f aca="false">BF70/(1-0.25)</f>
        <v>0.0208434666666667</v>
      </c>
      <c r="BI70" s="5" t="n">
        <v>0.0124987</v>
      </c>
      <c r="BJ70" s="5" t="n">
        <v>0.021569</v>
      </c>
      <c r="BK70" s="5" t="n">
        <v>0.017287</v>
      </c>
      <c r="BL70" s="5" t="n">
        <v>0.02592681</v>
      </c>
      <c r="BM70" s="5" t="n">
        <v>0.0243712014</v>
      </c>
    </row>
    <row r="71" customFormat="false" ht="15.75" hidden="false" customHeight="true" outlineLevel="0" collapsed="false">
      <c r="A71" s="2" t="n">
        <v>69</v>
      </c>
      <c r="B71" s="2" t="n">
        <v>0.02552712</v>
      </c>
      <c r="C71" s="4" t="n">
        <v>0.02577707269</v>
      </c>
      <c r="D71" s="4" t="n">
        <v>0.02577707</v>
      </c>
      <c r="E71" s="4" t="n">
        <v>0.028084</v>
      </c>
      <c r="F71" s="4" t="n">
        <v>0.02808412</v>
      </c>
      <c r="G71" s="4" t="n">
        <v>0.025977811</v>
      </c>
      <c r="H71" s="4" t="n">
        <v>0.0255263693365439</v>
      </c>
      <c r="I71" s="4" t="n">
        <v>0.0258952</v>
      </c>
      <c r="J71" s="4" t="n">
        <v>0.025636248</v>
      </c>
      <c r="K71" s="4" t="n">
        <v>0.0258952012455172</v>
      </c>
      <c r="L71" s="5" t="n">
        <v>0.0209410494465403</v>
      </c>
      <c r="M71" s="5" t="n">
        <f aca="false">L71/(1-0.19)</f>
        <v>0.0258531474648645</v>
      </c>
      <c r="N71" s="5" t="n">
        <f aca="false">L71/(1-0.183)</f>
        <v>0.0256316394694495</v>
      </c>
      <c r="O71" s="5" t="n">
        <v>0.0262831535184789</v>
      </c>
      <c r="P71" s="5" t="n">
        <v>0.0212709619046675</v>
      </c>
      <c r="Q71" s="5" t="n">
        <v>0.0266884991914012</v>
      </c>
      <c r="R71" s="5" t="n">
        <v>0.0260212867116162</v>
      </c>
      <c r="S71" s="4" t="n">
        <v>0.015233</v>
      </c>
      <c r="T71" s="4" t="n">
        <v>0.016946</v>
      </c>
      <c r="U71" s="4" t="n">
        <f aca="false">T71/(1-0.33)</f>
        <v>0.0252925373134328</v>
      </c>
      <c r="V71" s="4" t="n">
        <v>0.032202</v>
      </c>
      <c r="W71" s="4" t="n">
        <v>0.034836</v>
      </c>
      <c r="X71" s="4" t="n">
        <v>0.029531</v>
      </c>
      <c r="Y71" s="4" t="n">
        <v>0.02805445</v>
      </c>
      <c r="Z71" s="4" t="n">
        <v>0.027574</v>
      </c>
      <c r="AA71" s="4" t="n">
        <v>0.02688465</v>
      </c>
      <c r="AB71" s="4" t="n">
        <v>0.019296</v>
      </c>
      <c r="AC71" s="4" t="n">
        <v>0.0199136179</v>
      </c>
      <c r="AD71" s="4" t="n">
        <f aca="false">AC71/(1-0.1)</f>
        <v>0.0221262421111111</v>
      </c>
      <c r="AE71" s="4" t="n">
        <f aca="false">AC71/(1-0.15)</f>
        <v>0.0234277857647059</v>
      </c>
      <c r="AF71" s="4" t="n">
        <f aca="false">AC71/(1-0.2)</f>
        <v>0.024892022375</v>
      </c>
      <c r="AG71" s="4" t="n">
        <f aca="false">AC71/(1-0.24)</f>
        <v>0.0262021288157895</v>
      </c>
      <c r="AH71" s="4" t="n">
        <v>0.04803</v>
      </c>
      <c r="AI71" s="4" t="n">
        <v>0.032435</v>
      </c>
      <c r="AJ71" s="4" t="n">
        <v>0.03617</v>
      </c>
      <c r="AK71" s="4" t="n">
        <v>0.040775</v>
      </c>
      <c r="AL71" s="4" t="n">
        <v>0.028012</v>
      </c>
      <c r="AM71" s="4" t="n">
        <v>0.018278</v>
      </c>
      <c r="AN71" s="4" t="n">
        <v>0.033352</v>
      </c>
      <c r="AO71" s="4" t="n">
        <v>0.02801568</v>
      </c>
      <c r="AP71" s="4" t="n">
        <v>0.02768216</v>
      </c>
      <c r="AQ71" s="4" t="n">
        <v>0.02734864</v>
      </c>
      <c r="AR71" s="4" t="n">
        <v>0.02701512</v>
      </c>
      <c r="AS71" s="4" t="n">
        <v>0.02684836</v>
      </c>
      <c r="AT71" s="4" t="n">
        <v>0.0266816</v>
      </c>
      <c r="AU71" s="4" t="n">
        <v>0.05676</v>
      </c>
      <c r="AV71" s="4" t="n">
        <v>0.019802</v>
      </c>
      <c r="AW71" s="4" t="n">
        <v>0.067341</v>
      </c>
      <c r="AX71" s="4" t="n">
        <v>0.04876</v>
      </c>
      <c r="AY71" s="4" t="n">
        <v>0.023364</v>
      </c>
      <c r="AZ71" s="5" t="n">
        <v>0.03573</v>
      </c>
      <c r="BA71" s="5" t="n">
        <v>0.011625</v>
      </c>
      <c r="BB71" s="5" t="n">
        <v>0.009897</v>
      </c>
      <c r="BC71" s="5" t="n">
        <v>0.005943</v>
      </c>
      <c r="BD71" s="5" t="n">
        <v>0.07171</v>
      </c>
      <c r="BE71" s="5" t="n">
        <v>0.0418</v>
      </c>
      <c r="BF71" s="5" t="n">
        <v>0.0167943</v>
      </c>
      <c r="BG71" s="5" t="n">
        <f aca="false">BF71/(1-0.2)</f>
        <v>0.020992875</v>
      </c>
      <c r="BH71" s="5" t="n">
        <f aca="false">BF71/(1-0.25)</f>
        <v>0.0223924</v>
      </c>
      <c r="BI71" s="5" t="n">
        <v>0.0135974</v>
      </c>
      <c r="BJ71" s="5" t="n">
        <v>0.023088</v>
      </c>
      <c r="BK71" s="5" t="n">
        <v>0.01912</v>
      </c>
      <c r="BL71" s="5" t="n">
        <v>0.0284943</v>
      </c>
      <c r="BM71" s="5" t="n">
        <v>0.026784642</v>
      </c>
    </row>
    <row r="72" customFormat="false" ht="15.75" hidden="false" customHeight="true" outlineLevel="0" collapsed="false">
      <c r="A72" s="2" t="n">
        <v>70</v>
      </c>
      <c r="B72" s="2" t="n">
        <v>0.02704499</v>
      </c>
      <c r="C72" s="4" t="n">
        <v>0.02729106173</v>
      </c>
      <c r="D72" s="4" t="n">
        <v>0.02729106</v>
      </c>
      <c r="E72" s="4" t="n">
        <v>0.030117</v>
      </c>
      <c r="F72" s="4" t="n">
        <v>0.03011652</v>
      </c>
      <c r="G72" s="4" t="n">
        <v>0.027857781</v>
      </c>
      <c r="H72" s="4" t="n">
        <v>0.027838857288154</v>
      </c>
      <c r="I72" s="4" t="n">
        <v>0.02822958</v>
      </c>
      <c r="J72" s="4" t="n">
        <v>0.0279472842</v>
      </c>
      <c r="K72" s="4" t="n">
        <v>0.0282295806905519</v>
      </c>
      <c r="L72" s="5" t="n">
        <v>0.0228553972592745</v>
      </c>
      <c r="M72" s="5" t="n">
        <f aca="false">L72/(1-0.19)</f>
        <v>0.0282165398262648</v>
      </c>
      <c r="N72" s="5" t="n">
        <f aca="false">L72/(1-0.183)</f>
        <v>0.0279747824470924</v>
      </c>
      <c r="O72" s="5" t="n">
        <v>0.0286396950427661</v>
      </c>
      <c r="P72" s="5" t="n">
        <v>0.0232085117364568</v>
      </c>
      <c r="Q72" s="5" t="n">
        <v>0.0290721123020751</v>
      </c>
      <c r="R72" s="5" t="n">
        <v>0.0283453094945233</v>
      </c>
      <c r="S72" s="4" t="n">
        <v>0.016979</v>
      </c>
      <c r="T72" s="4" t="n">
        <v>0.01892</v>
      </c>
      <c r="U72" s="4" t="n">
        <f aca="false">T72/(1-0.33)</f>
        <v>0.0282388059701493</v>
      </c>
      <c r="V72" s="4" t="n">
        <v>0.035092</v>
      </c>
      <c r="W72" s="4" t="n">
        <v>0.037916</v>
      </c>
      <c r="X72" s="4" t="n">
        <v>0.032367</v>
      </c>
      <c r="Y72" s="4" t="n">
        <v>0.03074865</v>
      </c>
      <c r="Z72" s="4" t="n">
        <v>0.030589</v>
      </c>
      <c r="AA72" s="4" t="n">
        <v>0.029824275</v>
      </c>
      <c r="AB72" s="4" t="n">
        <v>0.021371</v>
      </c>
      <c r="AC72" s="4" t="n">
        <v>0.0218137531</v>
      </c>
      <c r="AD72" s="4" t="n">
        <f aca="false">AC72/(1-0.1)</f>
        <v>0.0242375034444444</v>
      </c>
      <c r="AE72" s="4" t="n">
        <f aca="false">AC72/(1-0.15)</f>
        <v>0.0256632389411765</v>
      </c>
      <c r="AF72" s="4" t="n">
        <f aca="false">AC72/(1-0.2)</f>
        <v>0.027267191375</v>
      </c>
      <c r="AG72" s="4" t="n">
        <f aca="false">AC72/(1-0.24)</f>
        <v>0.0287023067105263</v>
      </c>
      <c r="AH72" s="4" t="n">
        <v>0.05233</v>
      </c>
      <c r="AI72" s="4" t="n">
        <v>0.036106</v>
      </c>
      <c r="AJ72" s="4" t="n">
        <v>0.03951</v>
      </c>
      <c r="AK72" s="4" t="n">
        <v>0.044768</v>
      </c>
      <c r="AL72" s="4" t="n">
        <v>0.031371</v>
      </c>
      <c r="AM72" s="4" t="n">
        <v>0.019886</v>
      </c>
      <c r="AN72" s="4" t="n">
        <v>0.036376</v>
      </c>
      <c r="AO72" s="4" t="n">
        <v>0.03055584</v>
      </c>
      <c r="AP72" s="4" t="n">
        <v>0.03019208</v>
      </c>
      <c r="AQ72" s="4" t="n">
        <v>0.02982832</v>
      </c>
      <c r="AR72" s="4" t="n">
        <v>0.02946456</v>
      </c>
      <c r="AS72" s="4" t="n">
        <v>0.02928268</v>
      </c>
      <c r="AT72" s="4" t="n">
        <v>0.0291008</v>
      </c>
      <c r="AU72" s="4" t="n">
        <v>0.06199</v>
      </c>
      <c r="AV72" s="4" t="n">
        <v>0.022206</v>
      </c>
      <c r="AW72" s="4" t="n">
        <v>0.07386</v>
      </c>
      <c r="AX72" s="4" t="n">
        <v>0.05298</v>
      </c>
      <c r="AY72" s="4" t="n">
        <v>0.025516</v>
      </c>
      <c r="AZ72" s="5" t="n">
        <v>0.03866</v>
      </c>
      <c r="BA72" s="5" t="n">
        <v>0.012619</v>
      </c>
      <c r="BB72" s="5" t="n">
        <v>0.010888</v>
      </c>
      <c r="BC72" s="5" t="n">
        <v>0.00666</v>
      </c>
      <c r="BD72" s="5" t="n">
        <v>0.07802</v>
      </c>
      <c r="BE72" s="5" t="n">
        <v>0.04443</v>
      </c>
      <c r="BF72" s="5" t="n">
        <v>0.0183789</v>
      </c>
      <c r="BG72" s="5" t="n">
        <f aca="false">BF72/(1-0.2)</f>
        <v>0.022973625</v>
      </c>
      <c r="BH72" s="5" t="n">
        <f aca="false">BF72/(1-0.25)</f>
        <v>0.0245052</v>
      </c>
      <c r="BI72" s="5" t="n">
        <v>0.0150356</v>
      </c>
      <c r="BJ72" s="5" t="n">
        <v>0.024828</v>
      </c>
      <c r="BK72" s="5" t="n">
        <v>0.021146</v>
      </c>
      <c r="BL72" s="5" t="n">
        <v>0.03130774</v>
      </c>
      <c r="BM72" s="5" t="n">
        <v>0.0294292756</v>
      </c>
    </row>
    <row r="73" customFormat="false" ht="15.75" hidden="false" customHeight="true" outlineLevel="0" collapsed="false">
      <c r="A73" s="2" t="n">
        <v>71</v>
      </c>
      <c r="B73" s="2" t="n">
        <v>0.02875594</v>
      </c>
      <c r="C73" s="4" t="n">
        <v>0.02899998904</v>
      </c>
      <c r="D73" s="4" t="n">
        <v>0.02899999</v>
      </c>
      <c r="E73" s="4" t="n">
        <v>0.032373</v>
      </c>
      <c r="F73" s="4" t="n">
        <v>0.03237282</v>
      </c>
      <c r="G73" s="4" t="n">
        <v>0.0299448585</v>
      </c>
      <c r="H73" s="4" t="n">
        <v>0.0303127611486598</v>
      </c>
      <c r="I73" s="4" t="n">
        <v>0.03072801</v>
      </c>
      <c r="J73" s="4" t="n">
        <v>0.0304207299</v>
      </c>
      <c r="K73" s="4" t="n">
        <v>0.030728008663783</v>
      </c>
      <c r="L73" s="5" t="n">
        <v>0.0249139250851492</v>
      </c>
      <c r="M73" s="5" t="n">
        <f aca="false">L73/(1-0.19)</f>
        <v>0.0307579322038879</v>
      </c>
      <c r="N73" s="5" t="n">
        <f aca="false">L73/(1-0.183)</f>
        <v>0.0304944003490199</v>
      </c>
      <c r="O73" s="5" t="n">
        <v>0.0311626070576964</v>
      </c>
      <c r="P73" s="5" t="n">
        <v>0.025292358002509</v>
      </c>
      <c r="Q73" s="5" t="n">
        <v>0.0316245780064238</v>
      </c>
      <c r="R73" s="5" t="n">
        <v>0.0308339635562632</v>
      </c>
      <c r="S73" s="4" t="n">
        <v>0.018891</v>
      </c>
      <c r="T73" s="4" t="n">
        <v>0.021071</v>
      </c>
      <c r="U73" s="4" t="n">
        <f aca="false">T73/(1-0.33)</f>
        <v>0.0314492537313433</v>
      </c>
      <c r="V73" s="4" t="n">
        <v>0.038272</v>
      </c>
      <c r="W73" s="4" t="n">
        <v>0.041101</v>
      </c>
      <c r="X73" s="4" t="n">
        <v>0.035436</v>
      </c>
      <c r="Y73" s="4" t="n">
        <v>0.0336642</v>
      </c>
      <c r="Z73" s="4" t="n">
        <v>0.033727</v>
      </c>
      <c r="AA73" s="4" t="n">
        <v>0.032883825</v>
      </c>
      <c r="AB73" s="4" t="n">
        <v>0.023647</v>
      </c>
      <c r="AC73" s="4" t="n">
        <v>0.023894204</v>
      </c>
      <c r="AD73" s="4" t="n">
        <f aca="false">AC73/(1-0.1)</f>
        <v>0.0265491155555556</v>
      </c>
      <c r="AE73" s="4" t="n">
        <f aca="false">AC73/(1-0.15)</f>
        <v>0.0281108282352941</v>
      </c>
      <c r="AF73" s="4" t="n">
        <f aca="false">AC73/(1-0.2)</f>
        <v>0.029867755</v>
      </c>
      <c r="AG73" s="4" t="n">
        <f aca="false">AC73/(1-0.24)</f>
        <v>0.0314397421052632</v>
      </c>
      <c r="AH73" s="4" t="n">
        <v>0.05686</v>
      </c>
      <c r="AI73" s="4" t="n">
        <v>0.040008</v>
      </c>
      <c r="AJ73" s="4" t="n">
        <v>0.0433</v>
      </c>
      <c r="AK73" s="4" t="n">
        <v>0.049141</v>
      </c>
      <c r="AL73" s="4" t="n">
        <v>0.035081</v>
      </c>
      <c r="AM73" s="4" t="n">
        <v>0.02175</v>
      </c>
      <c r="AN73" s="4" t="n">
        <v>0.039509</v>
      </c>
      <c r="AO73" s="4" t="n">
        <v>0.03318756</v>
      </c>
      <c r="AP73" s="4" t="n">
        <v>0.03279247</v>
      </c>
      <c r="AQ73" s="4" t="n">
        <v>0.03239738</v>
      </c>
      <c r="AR73" s="4" t="n">
        <v>0.03200229</v>
      </c>
      <c r="AS73" s="4" t="n">
        <v>0.031804745</v>
      </c>
      <c r="AT73" s="4" t="n">
        <v>0.0316072</v>
      </c>
      <c r="AU73" s="4" t="n">
        <v>0.06767</v>
      </c>
      <c r="AV73" s="4" t="n">
        <v>0.02457</v>
      </c>
      <c r="AW73" s="4" t="n">
        <v>0.080994</v>
      </c>
      <c r="AX73" s="4" t="n">
        <v>0.0576</v>
      </c>
      <c r="AY73" s="4" t="n">
        <v>0.027905</v>
      </c>
      <c r="AZ73" s="5" t="n">
        <v>0.04182</v>
      </c>
      <c r="BA73" s="5" t="n">
        <v>0.013798</v>
      </c>
      <c r="BB73" s="5" t="n">
        <v>0.01208</v>
      </c>
      <c r="BC73" s="5" t="n">
        <v>0.00746</v>
      </c>
      <c r="BD73" s="5" t="n">
        <v>0.08493</v>
      </c>
      <c r="BE73" s="5" t="n">
        <v>0.04714</v>
      </c>
      <c r="BF73" s="5" t="n">
        <v>0.0202899</v>
      </c>
      <c r="BG73" s="5" t="n">
        <f aca="false">BF73/(1-0.2)</f>
        <v>0.025362375</v>
      </c>
      <c r="BH73" s="5" t="n">
        <f aca="false">BF73/(1-0.25)</f>
        <v>0.0270532</v>
      </c>
      <c r="BI73" s="5" t="n">
        <v>0.0166761</v>
      </c>
      <c r="BJ73" s="5" t="n">
        <v>0.026705</v>
      </c>
      <c r="BK73" s="5" t="n">
        <v>0.023387</v>
      </c>
      <c r="BL73" s="5" t="n">
        <v>0.03438985</v>
      </c>
      <c r="BM73" s="5" t="n">
        <v>0.032326459</v>
      </c>
    </row>
    <row r="74" customFormat="false" ht="15.75" hidden="false" customHeight="true" outlineLevel="0" collapsed="false">
      <c r="A74" s="2" t="n">
        <v>72</v>
      </c>
      <c r="B74" s="2" t="n">
        <v>0.03082015</v>
      </c>
      <c r="C74" s="4" t="n">
        <v>0.03106675175</v>
      </c>
      <c r="D74" s="4" t="n">
        <v>0.03106675</v>
      </c>
      <c r="E74" s="4" t="n">
        <v>0.034971</v>
      </c>
      <c r="F74" s="4" t="n">
        <v>0.03497063</v>
      </c>
      <c r="G74" s="4" t="n">
        <v>0.03234783275</v>
      </c>
      <c r="H74" s="4" t="n">
        <v>0.0330153715541656</v>
      </c>
      <c r="I74" s="4" t="n">
        <v>0.03345856</v>
      </c>
      <c r="J74" s="4" t="n">
        <v>0.0331239744</v>
      </c>
      <c r="K74" s="4" t="n">
        <v>0.0334585647193052</v>
      </c>
      <c r="L74" s="5" t="n">
        <v>0.0271775281732545</v>
      </c>
      <c r="M74" s="5" t="n">
        <f aca="false">L74/(1-0.19)</f>
        <v>0.0335525039175981</v>
      </c>
      <c r="N74" s="5" t="n">
        <f aca="false">L74/(1-0.183)</f>
        <v>0.0332650283638365</v>
      </c>
      <c r="O74" s="5" t="n">
        <v>0.0339210803771399</v>
      </c>
      <c r="P74" s="5" t="n">
        <v>0.027584171899225</v>
      </c>
      <c r="Q74" s="5" t="n">
        <v>0.0344146498977989</v>
      </c>
      <c r="R74" s="5" t="n">
        <v>0.0335542836503539</v>
      </c>
      <c r="S74" s="4" t="n">
        <v>0.020967</v>
      </c>
      <c r="T74" s="4" t="n">
        <v>0.023388</v>
      </c>
      <c r="U74" s="4" t="n">
        <f aca="false">T74/(1-0.33)</f>
        <v>0.0349074626865672</v>
      </c>
      <c r="V74" s="4" t="n">
        <v>0.041771</v>
      </c>
      <c r="W74" s="4" t="n">
        <v>0.04442</v>
      </c>
      <c r="X74" s="4" t="n">
        <v>0.038756</v>
      </c>
      <c r="Y74" s="4" t="n">
        <v>0.0368182</v>
      </c>
      <c r="Z74" s="4" t="n">
        <v>0.037078</v>
      </c>
      <c r="AA74" s="4" t="n">
        <v>0.03615105</v>
      </c>
      <c r="AB74" s="4" t="n">
        <v>0.026131</v>
      </c>
      <c r="AC74" s="4" t="n">
        <v>0.0261708214</v>
      </c>
      <c r="AD74" s="4" t="n">
        <f aca="false">AC74/(1-0.1)</f>
        <v>0.0290786904444444</v>
      </c>
      <c r="AE74" s="4" t="n">
        <f aca="false">AC74/(1-0.15)</f>
        <v>0.0307892016470588</v>
      </c>
      <c r="AF74" s="4" t="n">
        <f aca="false">AC74/(1-0.2)</f>
        <v>0.03271352675</v>
      </c>
      <c r="AG74" s="4" t="n">
        <f aca="false">AC74/(1-0.24)</f>
        <v>0.0344352913157895</v>
      </c>
      <c r="AH74" s="4" t="n">
        <v>0.06158</v>
      </c>
      <c r="AI74" s="4" t="n">
        <v>0.043827</v>
      </c>
      <c r="AJ74" s="4" t="n">
        <v>0.04765</v>
      </c>
      <c r="AK74" s="4" t="n">
        <v>0.053928</v>
      </c>
      <c r="AL74" s="4" t="n">
        <v>0.03914</v>
      </c>
      <c r="AM74" s="4" t="n">
        <v>0.023889</v>
      </c>
      <c r="AN74" s="4" t="n">
        <v>0.042761</v>
      </c>
      <c r="AO74" s="4" t="n">
        <v>0.03591924</v>
      </c>
      <c r="AP74" s="4" t="n">
        <v>0.03549163</v>
      </c>
      <c r="AQ74" s="4" t="n">
        <v>0.03506402</v>
      </c>
      <c r="AR74" s="4" t="n">
        <v>0.03463641</v>
      </c>
      <c r="AS74" s="4" t="n">
        <v>0.034422605</v>
      </c>
      <c r="AT74" s="4" t="n">
        <v>0.0342088</v>
      </c>
      <c r="AU74" s="4" t="n">
        <v>0.07373</v>
      </c>
      <c r="AV74" s="4" t="n">
        <v>0.027281</v>
      </c>
      <c r="AW74" s="4" t="n">
        <v>0.088795</v>
      </c>
      <c r="AX74" s="4" t="n">
        <v>0.06266</v>
      </c>
      <c r="AY74" s="4" t="n">
        <v>0.030625</v>
      </c>
      <c r="AZ74" s="5" t="n">
        <v>0.0453</v>
      </c>
      <c r="BA74" s="5" t="n">
        <v>0.015195</v>
      </c>
      <c r="BB74" s="5" t="n">
        <v>0.01355</v>
      </c>
      <c r="BC74" s="5" t="n">
        <v>0.008369</v>
      </c>
      <c r="BD74" s="5" t="n">
        <v>0.09251</v>
      </c>
      <c r="BE74" s="5" t="n">
        <v>0.04988</v>
      </c>
      <c r="BF74" s="5" t="n">
        <v>0.0226976</v>
      </c>
      <c r="BG74" s="5" t="n">
        <f aca="false">BF74/(1-0.2)</f>
        <v>0.028372</v>
      </c>
      <c r="BH74" s="5" t="n">
        <f aca="false">BF74/(1-0.25)</f>
        <v>0.0302634666666667</v>
      </c>
      <c r="BI74" s="5" t="n">
        <v>0.0187002</v>
      </c>
      <c r="BJ74" s="5" t="n">
        <v>0.028761</v>
      </c>
      <c r="BK74" s="5" t="n">
        <v>0.025862</v>
      </c>
      <c r="BL74" s="5" t="n">
        <v>0.03776526</v>
      </c>
      <c r="BM74" s="5" t="n">
        <v>0.0354993444</v>
      </c>
    </row>
    <row r="75" customFormat="false" ht="15.75" hidden="false" customHeight="true" outlineLevel="0" collapsed="false">
      <c r="A75" s="2" t="n">
        <v>73</v>
      </c>
      <c r="B75" s="2" t="n">
        <v>0.03336894</v>
      </c>
      <c r="C75" s="4" t="n">
        <v>0.03362413053</v>
      </c>
      <c r="D75" s="4" t="n">
        <v>0.03362413</v>
      </c>
      <c r="E75" s="4" t="n">
        <v>0.038004</v>
      </c>
      <c r="F75" s="4" t="n">
        <v>0.03800373</v>
      </c>
      <c r="G75" s="4" t="n">
        <v>0.03515345025</v>
      </c>
      <c r="H75" s="4" t="n">
        <v>0.0359718965981534</v>
      </c>
      <c r="I75" s="4" t="n">
        <v>0.03644778</v>
      </c>
      <c r="J75" s="4" t="n">
        <v>0.0360833022</v>
      </c>
      <c r="K75" s="4" t="n">
        <v>0.0364477822581055</v>
      </c>
      <c r="L75" s="5" t="n">
        <v>0.0296745823990514</v>
      </c>
      <c r="M75" s="5" t="n">
        <f aca="false">L75/(1-0.19)</f>
        <v>0.0366352869124091</v>
      </c>
      <c r="N75" s="5" t="n">
        <f aca="false">L75/(1-0.183)</f>
        <v>0.0363213982852526</v>
      </c>
      <c r="O75" s="5" t="n">
        <v>0.0369429833932693</v>
      </c>
      <c r="P75" s="5" t="n">
        <v>0.0301132600796412</v>
      </c>
      <c r="Q75" s="5" t="n">
        <v>0.0374706555067929</v>
      </c>
      <c r="R75" s="5" t="n">
        <v>0.0365338891191231</v>
      </c>
      <c r="S75" s="4" t="n">
        <v>0.023209</v>
      </c>
      <c r="T75" s="4" t="n">
        <v>0.025871</v>
      </c>
      <c r="U75" s="4" t="n">
        <f aca="false">T75/(1-0.33)</f>
        <v>0.0386134328358209</v>
      </c>
      <c r="V75" s="4" t="n">
        <v>0.04562</v>
      </c>
      <c r="W75" s="4" t="n">
        <v>0.047987</v>
      </c>
      <c r="X75" s="4" t="n">
        <v>0.042346</v>
      </c>
      <c r="Y75" s="4" t="n">
        <v>0.0402287</v>
      </c>
      <c r="Z75" s="4" t="n">
        <v>0.040756</v>
      </c>
      <c r="AA75" s="4" t="n">
        <v>0.0397371</v>
      </c>
      <c r="AB75" s="4" t="n">
        <v>0.028835</v>
      </c>
      <c r="AC75" s="4" t="n">
        <v>0.0286630797</v>
      </c>
      <c r="AD75" s="4" t="n">
        <f aca="false">AC75/(1-0.1)</f>
        <v>0.0318478663333333</v>
      </c>
      <c r="AE75" s="4" t="n">
        <f aca="false">AC75/(1-0.15)</f>
        <v>0.0337212702352941</v>
      </c>
      <c r="AF75" s="4" t="n">
        <f aca="false">AC75/(1-0.2)</f>
        <v>0.035828849625</v>
      </c>
      <c r="AG75" s="4" t="n">
        <f aca="false">AC75/(1-0.24)</f>
        <v>0.0377145785526316</v>
      </c>
      <c r="AH75" s="4" t="n">
        <v>0.06642</v>
      </c>
      <c r="AI75" s="4" t="n">
        <v>0.047489</v>
      </c>
      <c r="AJ75" s="4" t="n">
        <v>0.05264</v>
      </c>
      <c r="AK75" s="4" t="n">
        <v>0.059164</v>
      </c>
      <c r="AL75" s="4" t="n">
        <v>0.043549</v>
      </c>
      <c r="AM75" s="4" t="n">
        <v>0.026286</v>
      </c>
      <c r="AN75" s="4" t="n">
        <v>0.046204</v>
      </c>
      <c r="AO75" s="4" t="n">
        <v>0.03881136</v>
      </c>
      <c r="AP75" s="4" t="n">
        <v>0.03834932</v>
      </c>
      <c r="AQ75" s="4" t="n">
        <v>0.03788728</v>
      </c>
      <c r="AR75" s="4" t="n">
        <v>0.03742524</v>
      </c>
      <c r="AS75" s="4" t="n">
        <v>0.03719422</v>
      </c>
      <c r="AT75" s="4" t="n">
        <v>0.0369632</v>
      </c>
      <c r="AU75" s="4" t="n">
        <v>0.08018</v>
      </c>
      <c r="AV75" s="4" t="n">
        <v>0.030387</v>
      </c>
      <c r="AW75" s="4" t="n">
        <v>0.097319</v>
      </c>
      <c r="AX75" s="4" t="n">
        <v>0.06819</v>
      </c>
      <c r="AY75" s="4" t="n">
        <v>0.033549</v>
      </c>
      <c r="AZ75" s="5" t="n">
        <v>0.04915</v>
      </c>
      <c r="BA75" s="5" t="n">
        <v>0.016834</v>
      </c>
      <c r="BB75" s="5" t="n">
        <v>0.015387</v>
      </c>
      <c r="BC75" s="5" t="n">
        <v>0.009436</v>
      </c>
      <c r="BD75" s="5" t="n">
        <v>0.10077</v>
      </c>
      <c r="BE75" s="5" t="n">
        <v>0.0526</v>
      </c>
      <c r="BF75" s="5" t="n">
        <v>0.0254119</v>
      </c>
      <c r="BG75" s="5" t="n">
        <f aca="false">BF75/(1-0.2)</f>
        <v>0.031764875</v>
      </c>
      <c r="BH75" s="5" t="n">
        <f aca="false">BF75/(1-0.25)</f>
        <v>0.0338825333333333</v>
      </c>
      <c r="BI75" s="5" t="n">
        <v>0.0208752</v>
      </c>
      <c r="BJ75" s="5" t="n">
        <v>0.031116</v>
      </c>
      <c r="BK75" s="5" t="n">
        <v>0.028598</v>
      </c>
      <c r="BL75" s="5" t="n">
        <v>0.04146068</v>
      </c>
      <c r="BM75" s="5" t="n">
        <v>0.0389730392</v>
      </c>
    </row>
    <row r="76" customFormat="false" ht="15.75" hidden="false" customHeight="true" outlineLevel="0" collapsed="false">
      <c r="A76" s="2" t="n">
        <v>74</v>
      </c>
      <c r="B76" s="2" t="n">
        <v>0.03646975</v>
      </c>
      <c r="C76" s="4" t="n">
        <v>0.0367393161</v>
      </c>
      <c r="D76" s="4" t="n">
        <v>0.03673932</v>
      </c>
      <c r="E76" s="4" t="n">
        <v>0.04151</v>
      </c>
      <c r="F76" s="4" t="n">
        <v>0.0415099</v>
      </c>
      <c r="G76" s="4" t="n">
        <v>0.0383966575</v>
      </c>
      <c r="H76" s="4" t="n">
        <v>0.039190980377539</v>
      </c>
      <c r="I76" s="4" t="n">
        <v>0.03970413</v>
      </c>
      <c r="J76" s="4" t="n">
        <v>0.0393070887</v>
      </c>
      <c r="K76" s="4" t="n">
        <v>0.0397041276474145</v>
      </c>
      <c r="L76" s="5" t="n">
        <v>0.0324088346154866</v>
      </c>
      <c r="M76" s="5" t="n">
        <f aca="false">L76/(1-0.19)</f>
        <v>0.0400109069326995</v>
      </c>
      <c r="N76" s="5" t="n">
        <f aca="false">L76/(1-0.183)</f>
        <v>0.0396680962245858</v>
      </c>
      <c r="O76" s="5" t="n">
        <v>0.0402366043798849</v>
      </c>
      <c r="P76" s="5" t="n">
        <v>0.0328832323976937</v>
      </c>
      <c r="Q76" s="5" t="n">
        <v>0.0408010858753788</v>
      </c>
      <c r="R76" s="5" t="n">
        <v>0.0397810587284943</v>
      </c>
      <c r="S76" s="4" t="n">
        <v>0.025644</v>
      </c>
      <c r="T76" s="4" t="n">
        <v>0.028552</v>
      </c>
      <c r="U76" s="4" t="n">
        <f aca="false">T76/(1-0.33)</f>
        <v>0.0426149253731343</v>
      </c>
      <c r="V76" s="4" t="n">
        <v>0.049852</v>
      </c>
      <c r="W76" s="4" t="n">
        <v>0.051822</v>
      </c>
      <c r="X76" s="4" t="n">
        <v>0.046226</v>
      </c>
      <c r="Y76" s="4" t="n">
        <v>0.0439147</v>
      </c>
      <c r="Z76" s="4" t="n">
        <v>0.044876</v>
      </c>
      <c r="AA76" s="4" t="n">
        <v>0.0437541</v>
      </c>
      <c r="AB76" s="4" t="n">
        <v>0.031794</v>
      </c>
      <c r="AC76" s="4" t="n">
        <v>0.0313923232</v>
      </c>
      <c r="AD76" s="4" t="n">
        <f aca="false">AC76/(1-0.1)</f>
        <v>0.0348803591111111</v>
      </c>
      <c r="AE76" s="4" t="n">
        <f aca="false">AC76/(1-0.15)</f>
        <v>0.0369321449411765</v>
      </c>
      <c r="AF76" s="4" t="n">
        <f aca="false">AC76/(1-0.2)</f>
        <v>0.039240404</v>
      </c>
      <c r="AG76" s="4" t="n">
        <f aca="false">AC76/(1-0.24)</f>
        <v>0.0413056884210526</v>
      </c>
      <c r="AH76" s="4" t="n">
        <v>0.07153</v>
      </c>
      <c r="AI76" s="4" t="n">
        <v>0.051221</v>
      </c>
      <c r="AJ76" s="4" t="n">
        <v>0.05819</v>
      </c>
      <c r="AK76" s="4" t="n">
        <v>0.06489</v>
      </c>
      <c r="AL76" s="4" t="n">
        <v>0.048308</v>
      </c>
      <c r="AM76" s="4" t="n">
        <v>0.028914</v>
      </c>
      <c r="AN76" s="4" t="n">
        <v>0.049905</v>
      </c>
      <c r="AO76" s="4" t="n">
        <v>0.0419202</v>
      </c>
      <c r="AP76" s="4" t="n">
        <v>0.04142115</v>
      </c>
      <c r="AQ76" s="4" t="n">
        <v>0.0409221</v>
      </c>
      <c r="AR76" s="4" t="n">
        <v>0.04042305</v>
      </c>
      <c r="AS76" s="4" t="n">
        <v>0.040173525</v>
      </c>
      <c r="AT76" s="4" t="n">
        <v>0.039924</v>
      </c>
      <c r="AU76" s="4" t="n">
        <v>0.08703</v>
      </c>
      <c r="AV76" s="4" t="n">
        <v>0.0339</v>
      </c>
      <c r="AW76" s="4" t="n">
        <v>0.106626</v>
      </c>
      <c r="AX76" s="4" t="n">
        <v>0.07424</v>
      </c>
      <c r="AY76" s="4" t="n">
        <v>0.036614</v>
      </c>
      <c r="AZ76" s="5" t="n">
        <v>0.05342</v>
      </c>
      <c r="BA76" s="5" t="n">
        <v>0.018733</v>
      </c>
      <c r="BB76" s="5" t="n">
        <v>0.017686</v>
      </c>
      <c r="BC76" s="5" t="n">
        <v>0.01073</v>
      </c>
      <c r="BD76" s="5" t="n">
        <v>0.10987</v>
      </c>
      <c r="BE76" s="5" t="n">
        <v>0.05534</v>
      </c>
      <c r="BF76" s="5" t="n">
        <v>0.0280659</v>
      </c>
      <c r="BG76" s="5" t="n">
        <f aca="false">BF76/(1-0.2)</f>
        <v>0.035082375</v>
      </c>
      <c r="BH76" s="5" t="n">
        <f aca="false">BF76/(1-0.25)</f>
        <v>0.0374212</v>
      </c>
      <c r="BI76" s="5" t="n">
        <v>0.0232898</v>
      </c>
      <c r="BJ76" s="5" t="n">
        <v>0.033861</v>
      </c>
      <c r="BK76" s="5" t="n">
        <v>0.03162</v>
      </c>
      <c r="BL76" s="5" t="n">
        <v>0.04550497</v>
      </c>
      <c r="BM76" s="5" t="n">
        <v>0.0427746718</v>
      </c>
    </row>
    <row r="77" customFormat="false" ht="15.75" hidden="false" customHeight="true" outlineLevel="0" collapsed="false">
      <c r="A77" s="2" t="n">
        <v>75</v>
      </c>
      <c r="B77" s="2" t="n">
        <v>0.04006841</v>
      </c>
      <c r="C77" s="4" t="n">
        <v>0.04035495782</v>
      </c>
      <c r="D77" s="4" t="n">
        <v>0.04035496</v>
      </c>
      <c r="E77" s="4" t="n">
        <v>0.045423</v>
      </c>
      <c r="F77" s="4" t="n">
        <v>0.04542311</v>
      </c>
      <c r="G77" s="4" t="n">
        <v>0.04201637675</v>
      </c>
      <c r="H77" s="4" t="n">
        <v>0.0426568593558242</v>
      </c>
      <c r="I77" s="4" t="n">
        <v>0.04321173</v>
      </c>
      <c r="J77" s="4" t="n">
        <v>0.0427796127</v>
      </c>
      <c r="K77" s="4" t="n">
        <v>0.0432117276177281</v>
      </c>
      <c r="L77" s="5" t="n">
        <v>0.0353447031903415</v>
      </c>
      <c r="M77" s="5" t="n">
        <f aca="false">L77/(1-0.19)</f>
        <v>0.0436354360374587</v>
      </c>
      <c r="N77" s="5" t="n">
        <f aca="false">L77/(1-0.183)</f>
        <v>0.0432615706124131</v>
      </c>
      <c r="O77" s="5" t="n">
        <v>0.0437860956838437</v>
      </c>
      <c r="P77" s="5" t="n">
        <v>0.0358580946581084</v>
      </c>
      <c r="Q77" s="5" t="n">
        <v>0.0443913450450692</v>
      </c>
      <c r="R77" s="5" t="n">
        <v>0.0432815614189425</v>
      </c>
      <c r="S77" s="4" t="n">
        <v>0.028304</v>
      </c>
      <c r="T77" s="4" t="n">
        <v>0.031477</v>
      </c>
      <c r="U77" s="4" t="n">
        <f aca="false">T77/(1-0.33)</f>
        <v>0.0469805970149254</v>
      </c>
      <c r="V77" s="4" t="n">
        <v>0.054501</v>
      </c>
      <c r="W77" s="4" t="n">
        <v>0.055946</v>
      </c>
      <c r="X77" s="4" t="n">
        <v>0.050417</v>
      </c>
      <c r="Y77" s="4" t="n">
        <v>0.04789615</v>
      </c>
      <c r="Z77" s="4" t="n">
        <v>0.049552</v>
      </c>
      <c r="AA77" s="4" t="n">
        <v>0.0483132</v>
      </c>
      <c r="AB77" s="4" t="n">
        <v>0.035046</v>
      </c>
      <c r="AC77" s="4" t="n">
        <v>0.0343781881</v>
      </c>
      <c r="AD77" s="4" t="n">
        <f aca="false">AC77/(1-0.1)</f>
        <v>0.0381979867777778</v>
      </c>
      <c r="AE77" s="4" t="n">
        <f aca="false">AC77/(1-0.15)</f>
        <v>0.0404449271764706</v>
      </c>
      <c r="AF77" s="4" t="n">
        <f aca="false">AC77/(1-0.2)</f>
        <v>0.042972735125</v>
      </c>
      <c r="AG77" s="4" t="n">
        <f aca="false">AC77/(1-0.24)</f>
        <v>0.0452344580263158</v>
      </c>
      <c r="AH77" s="4" t="n">
        <v>0.07704</v>
      </c>
      <c r="AI77" s="4" t="n">
        <v>0.055293</v>
      </c>
      <c r="AJ77" s="4" t="n">
        <v>0.06419</v>
      </c>
      <c r="AK77" s="4" t="n">
        <v>0.071146</v>
      </c>
      <c r="AL77" s="4" t="n">
        <v>0.053416</v>
      </c>
      <c r="AM77" s="4" t="n">
        <v>0.031746</v>
      </c>
      <c r="AN77" s="4" t="n">
        <v>0.053884</v>
      </c>
      <c r="AO77" s="4" t="n">
        <v>0.04526256</v>
      </c>
      <c r="AP77" s="4" t="n">
        <v>0.04472372</v>
      </c>
      <c r="AQ77" s="4" t="n">
        <v>0.04418488</v>
      </c>
      <c r="AR77" s="4" t="n">
        <v>0.04364604</v>
      </c>
      <c r="AS77" s="4" t="n">
        <v>0.04337662</v>
      </c>
      <c r="AT77" s="4" t="n">
        <v>0.0431072</v>
      </c>
      <c r="AU77" s="4" t="n">
        <v>0.09437</v>
      </c>
      <c r="AV77" s="4" t="n">
        <v>0.037834</v>
      </c>
      <c r="AW77" s="4" t="n">
        <v>0.116777</v>
      </c>
      <c r="AX77" s="4" t="n">
        <v>0.08085</v>
      </c>
      <c r="AY77" s="4" t="n">
        <v>0.040012</v>
      </c>
      <c r="AZ77" s="5" t="n">
        <v>0.05799</v>
      </c>
      <c r="BA77" s="5" t="n">
        <v>0.020905</v>
      </c>
      <c r="BB77" s="5" t="n">
        <v>0.020539</v>
      </c>
      <c r="BC77" s="5" t="n">
        <v>0.012332</v>
      </c>
      <c r="BD77" s="5" t="n">
        <v>0.11972</v>
      </c>
      <c r="BE77" s="5" t="n">
        <v>0.05788</v>
      </c>
      <c r="BF77" s="5" t="n">
        <v>0.0298929</v>
      </c>
      <c r="BG77" s="5" t="n">
        <f aca="false">BF77/(1-0.2)</f>
        <v>0.037366125</v>
      </c>
      <c r="BH77" s="5" t="n">
        <f aca="false">BF77/(1-0.25)</f>
        <v>0.0398572</v>
      </c>
      <c r="BI77" s="5" t="n">
        <v>0.0257844</v>
      </c>
      <c r="BJ77" s="5" t="n">
        <v>0.037088</v>
      </c>
      <c r="BK77" s="5" t="n">
        <v>0.034956</v>
      </c>
      <c r="BL77" s="5" t="n">
        <v>0.0499293</v>
      </c>
      <c r="BM77" s="5" t="n">
        <v>0.046933542</v>
      </c>
    </row>
    <row r="78" customFormat="false" ht="15.75" hidden="false" customHeight="true" outlineLevel="0" collapsed="false">
      <c r="A78" s="2" t="n">
        <v>76</v>
      </c>
      <c r="B78" s="2" t="n">
        <v>0.04406256</v>
      </c>
      <c r="C78" s="4" t="n">
        <v>0.04436455665</v>
      </c>
      <c r="D78" s="4" t="n">
        <v>0.04436456</v>
      </c>
      <c r="E78" s="4" t="n">
        <v>0.04964</v>
      </c>
      <c r="F78" s="4" t="n">
        <v>0.04963972</v>
      </c>
      <c r="G78" s="4" t="n">
        <v>0.045916741</v>
      </c>
      <c r="H78" s="4" t="n">
        <v>0.0463874251032052</v>
      </c>
      <c r="I78" s="4" t="n">
        <v>0.04698693</v>
      </c>
      <c r="J78" s="4" t="n">
        <v>0.0465170607</v>
      </c>
      <c r="K78" s="4" t="n">
        <v>0.0469869254471718</v>
      </c>
      <c r="L78" s="5" t="n">
        <v>0.0384999395850603</v>
      </c>
      <c r="M78" s="5" t="n">
        <f aca="false">L78/(1-0.19)</f>
        <v>0.0475307896111855</v>
      </c>
      <c r="N78" s="5" t="n">
        <f aca="false">L78/(1-0.183)</f>
        <v>0.0471235490637213</v>
      </c>
      <c r="O78" s="5" t="n">
        <v>0.0476061288934392</v>
      </c>
      <c r="P78" s="5" t="n">
        <v>0.0390547125436947</v>
      </c>
      <c r="Q78" s="5" t="n">
        <v>0.0482552819380576</v>
      </c>
      <c r="R78" s="5" t="n">
        <v>0.0470488998896061</v>
      </c>
      <c r="S78" s="4" t="n">
        <v>0.03122</v>
      </c>
      <c r="T78" s="4" t="n">
        <v>0.034686</v>
      </c>
      <c r="U78" s="4" t="n">
        <f aca="false">T78/(1-0.33)</f>
        <v>0.0517701492537314</v>
      </c>
      <c r="V78" s="4" t="n">
        <v>0.059609</v>
      </c>
      <c r="W78" s="4" t="n">
        <v>0.060381</v>
      </c>
      <c r="X78" s="4" t="n">
        <v>0.054941</v>
      </c>
      <c r="Y78" s="4" t="n">
        <v>0.05219395</v>
      </c>
      <c r="Z78" s="4" t="n">
        <v>0.054876</v>
      </c>
      <c r="AA78" s="4" t="n">
        <v>0.0535041</v>
      </c>
      <c r="AB78" s="4" t="n">
        <v>0.038631</v>
      </c>
      <c r="AC78" s="4" t="n">
        <v>0.0376456477</v>
      </c>
      <c r="AD78" s="4" t="n">
        <f aca="false">AC78/(1-0.1)</f>
        <v>0.0418284974444444</v>
      </c>
      <c r="AE78" s="4" t="n">
        <f aca="false">AC78/(1-0.15)</f>
        <v>0.0442889972941177</v>
      </c>
      <c r="AF78" s="4" t="n">
        <f aca="false">AC78/(1-0.2)</f>
        <v>0.047057059625</v>
      </c>
      <c r="AG78" s="4" t="n">
        <f aca="false">AC78/(1-0.24)</f>
        <v>0.0495337469736842</v>
      </c>
      <c r="AH78" s="4" t="n">
        <v>0.08314</v>
      </c>
      <c r="AI78" s="4" t="n">
        <v>0.060068</v>
      </c>
      <c r="AJ78" s="4" t="n">
        <v>0.07053</v>
      </c>
      <c r="AK78" s="4" t="n">
        <v>0.077976</v>
      </c>
      <c r="AL78" s="4" t="n">
        <v>0.058875</v>
      </c>
      <c r="AM78" s="4" t="n">
        <v>0.034759</v>
      </c>
      <c r="AN78" s="4" t="n">
        <v>0.058164</v>
      </c>
      <c r="AO78" s="4" t="n">
        <v>0.04885776</v>
      </c>
      <c r="AP78" s="4" t="n">
        <v>0.04827612</v>
      </c>
      <c r="AQ78" s="4" t="n">
        <v>0.04769448</v>
      </c>
      <c r="AR78" s="4" t="n">
        <v>0.04711284</v>
      </c>
      <c r="AS78" s="4" t="n">
        <v>0.04682202</v>
      </c>
      <c r="AT78" s="4" t="n">
        <v>0.0465312</v>
      </c>
      <c r="AU78" s="4" t="n">
        <v>0.10231</v>
      </c>
      <c r="AV78" s="4" t="n">
        <v>0.042169</v>
      </c>
      <c r="AW78" s="4" t="n">
        <v>0.127839</v>
      </c>
      <c r="AX78" s="4" t="n">
        <v>0.08806</v>
      </c>
      <c r="AY78" s="4" t="n">
        <v>0.043933</v>
      </c>
      <c r="AZ78" s="5" t="n">
        <v>0.06296</v>
      </c>
      <c r="BA78" s="5" t="n">
        <v>0.023367</v>
      </c>
      <c r="BB78" s="5" t="n">
        <v>0.024017</v>
      </c>
      <c r="BC78" s="5" t="n">
        <v>0.014315</v>
      </c>
      <c r="BD78" s="5" t="n">
        <v>0.13053</v>
      </c>
      <c r="BE78" s="5" t="n">
        <v>0.06004</v>
      </c>
      <c r="BF78" s="5" t="n">
        <v>0.0326954</v>
      </c>
      <c r="BG78" s="5" t="n">
        <f aca="false">BF78/(1-0.2)</f>
        <v>0.04086925</v>
      </c>
      <c r="BH78" s="5" t="n">
        <f aca="false">BF78/(1-0.25)</f>
        <v>0.0435938666666667</v>
      </c>
      <c r="BI78" s="5" t="n">
        <v>0.0286674</v>
      </c>
      <c r="BJ78" s="5" t="n">
        <v>0.041126</v>
      </c>
      <c r="BK78" s="5" t="n">
        <v>0.038639</v>
      </c>
      <c r="BL78" s="5" t="n">
        <v>0.05476726</v>
      </c>
      <c r="BM78" s="5" t="n">
        <v>0.0514812244</v>
      </c>
    </row>
    <row r="79" customFormat="false" ht="15.75" hidden="false" customHeight="true" outlineLevel="0" collapsed="false">
      <c r="A79" s="2" t="n">
        <v>77</v>
      </c>
      <c r="B79" s="2" t="n">
        <v>0.04829493</v>
      </c>
      <c r="C79" s="4" t="n">
        <v>0.04860589632</v>
      </c>
      <c r="D79" s="4" t="n">
        <v>0.0486059</v>
      </c>
      <c r="E79" s="4" t="n">
        <v>0.054023</v>
      </c>
      <c r="F79" s="4" t="n">
        <v>0.054023</v>
      </c>
      <c r="G79" s="4" t="n">
        <v>0.049971275</v>
      </c>
      <c r="H79" s="4" t="n">
        <v>0.0504429461220185</v>
      </c>
      <c r="I79" s="4" t="n">
        <v>0.05108855</v>
      </c>
      <c r="J79" s="4" t="n">
        <v>0.0505776645</v>
      </c>
      <c r="K79" s="4" t="n">
        <v>0.0510885538962572</v>
      </c>
      <c r="L79" s="5" t="n">
        <v>0.0419533742848915</v>
      </c>
      <c r="M79" s="5" t="n">
        <f aca="false">L79/(1-0.19)</f>
        <v>0.0517942892406067</v>
      </c>
      <c r="N79" s="5" t="n">
        <f aca="false">L79/(1-0.183)</f>
        <v>0.0513505193205526</v>
      </c>
      <c r="O79" s="5" t="n">
        <v>0.051753775667653</v>
      </c>
      <c r="P79" s="5" t="n">
        <v>0.0425516392727306</v>
      </c>
      <c r="Q79" s="5" t="n">
        <v>0.0524478150946161</v>
      </c>
      <c r="R79" s="5" t="n">
        <v>0.0511366197172507</v>
      </c>
      <c r="S79" s="4" t="n">
        <v>0.034425</v>
      </c>
      <c r="T79" s="4" t="n">
        <v>0.038225</v>
      </c>
      <c r="U79" s="4" t="n">
        <f aca="false">T79/(1-0.33)</f>
        <v>0.0570522388059702</v>
      </c>
      <c r="V79" s="4" t="n">
        <v>0.065216</v>
      </c>
      <c r="W79" s="4" t="n">
        <v>0.06514</v>
      </c>
      <c r="X79" s="4" t="n">
        <v>0.059821</v>
      </c>
      <c r="Y79" s="4" t="n">
        <v>0.05682995</v>
      </c>
      <c r="Z79" s="4" t="n">
        <v>0.060842</v>
      </c>
      <c r="AA79" s="4" t="n">
        <v>0.05932095</v>
      </c>
      <c r="AB79" s="4" t="n">
        <v>0.042587</v>
      </c>
      <c r="AC79" s="4" t="n">
        <v>0.0412216511</v>
      </c>
      <c r="AD79" s="4" t="n">
        <f aca="false">AC79/(1-0.1)</f>
        <v>0.0458018345555556</v>
      </c>
      <c r="AE79" s="4" t="n">
        <f aca="false">AC79/(1-0.15)</f>
        <v>0.0484960601176471</v>
      </c>
      <c r="AF79" s="4" t="n">
        <f aca="false">AC79/(1-0.2)</f>
        <v>0.051527063875</v>
      </c>
      <c r="AG79" s="4" t="n">
        <f aca="false">AC79/(1-0.24)</f>
        <v>0.0542390146052632</v>
      </c>
      <c r="AH79" s="4" t="n">
        <v>0.08998</v>
      </c>
      <c r="AI79" s="4" t="n">
        <v>0.065924</v>
      </c>
      <c r="AJ79" s="4" t="n">
        <v>0.07712</v>
      </c>
      <c r="AK79" s="4" t="n">
        <v>0.085427</v>
      </c>
      <c r="AL79" s="4" t="n">
        <v>0.064683</v>
      </c>
      <c r="AM79" s="4" t="n">
        <v>0.037928</v>
      </c>
      <c r="AN79" s="4" t="n">
        <v>0.062761</v>
      </c>
      <c r="AO79" s="4" t="n">
        <v>0.05271924</v>
      </c>
      <c r="AP79" s="4" t="n">
        <v>0.05209163</v>
      </c>
      <c r="AQ79" s="4" t="n">
        <v>0.05146402</v>
      </c>
      <c r="AR79" s="4" t="n">
        <v>0.05083641</v>
      </c>
      <c r="AS79" s="4" t="n">
        <v>0.050522605</v>
      </c>
      <c r="AT79" s="4" t="n">
        <v>0.0502088</v>
      </c>
      <c r="AU79" s="4" t="n">
        <v>0.11106</v>
      </c>
      <c r="AV79" s="4" t="n">
        <v>0.046906</v>
      </c>
      <c r="AW79" s="4" t="n">
        <v>0.13988</v>
      </c>
      <c r="AX79" s="4" t="n">
        <v>0.09593</v>
      </c>
      <c r="AY79" s="4" t="n">
        <v>0.04857</v>
      </c>
      <c r="AZ79" s="5" t="n">
        <v>0.06867</v>
      </c>
      <c r="BA79" s="5" t="n">
        <v>0.026155</v>
      </c>
      <c r="BB79" s="5" t="n">
        <v>0.028162</v>
      </c>
      <c r="BC79" s="5" t="n">
        <v>0.016734</v>
      </c>
      <c r="BD79" s="5" t="n">
        <v>0.14226</v>
      </c>
      <c r="BE79" s="5" t="n">
        <v>0.06203</v>
      </c>
      <c r="BF79" s="5" t="n">
        <v>0.0358784</v>
      </c>
      <c r="BG79" s="5" t="n">
        <f aca="false">BF79/(1-0.2)</f>
        <v>0.044848</v>
      </c>
      <c r="BH79" s="5" t="n">
        <f aca="false">BF79/(1-0.25)</f>
        <v>0.0478378666666667</v>
      </c>
      <c r="BI79" s="5" t="n">
        <v>0.0317212</v>
      </c>
      <c r="BJ79" s="5" t="n">
        <v>0.045241</v>
      </c>
      <c r="BK79" s="5" t="n">
        <v>0.042703</v>
      </c>
      <c r="BL79" s="5" t="n">
        <v>0.06005497</v>
      </c>
      <c r="BM79" s="5" t="n">
        <v>0.0564516718</v>
      </c>
    </row>
    <row r="80" customFormat="false" ht="15.75" hidden="false" customHeight="true" outlineLevel="0" collapsed="false">
      <c r="A80" s="2" t="n">
        <v>78</v>
      </c>
      <c r="B80" s="2" t="n">
        <v>0.05267037</v>
      </c>
      <c r="C80" s="4" t="n">
        <v>0.05298091022</v>
      </c>
      <c r="D80" s="4" t="n">
        <v>0.05298091</v>
      </c>
      <c r="E80" s="4" t="n">
        <v>0.058504</v>
      </c>
      <c r="F80" s="4" t="n">
        <v>0.05850429</v>
      </c>
      <c r="G80" s="4" t="n">
        <v>0.05411646825</v>
      </c>
      <c r="H80" s="4" t="n">
        <v>0.05486648003453</v>
      </c>
      <c r="I80" s="4" t="n">
        <v>0.05555842</v>
      </c>
      <c r="J80" s="4" t="n">
        <v>0.0550028358</v>
      </c>
      <c r="K80" s="4" t="n">
        <v>0.0555584236182585</v>
      </c>
      <c r="L80" s="5" t="n">
        <v>0.0457530797474788</v>
      </c>
      <c r="M80" s="5" t="n">
        <f aca="false">L80/(1-0.19)</f>
        <v>0.0564852836388627</v>
      </c>
      <c r="N80" s="5" t="n">
        <f aca="false">L80/(1-0.183)</f>
        <v>0.0560013216003412</v>
      </c>
      <c r="O80" s="5" t="n">
        <v>0.0562693697810927</v>
      </c>
      <c r="P80" s="5" t="n">
        <v>0.0463966442471834</v>
      </c>
      <c r="Q80" s="5" t="n">
        <v>0.0570080289693556</v>
      </c>
      <c r="R80" s="5" t="n">
        <v>0.0555828282451217</v>
      </c>
      <c r="S80" s="4" t="n">
        <v>0.037948</v>
      </c>
      <c r="T80" s="4" t="n">
        <v>0.042132</v>
      </c>
      <c r="U80" s="4" t="n">
        <f aca="false">T80/(1-0.33)</f>
        <v>0.0628835820895523</v>
      </c>
      <c r="V80" s="4" t="n">
        <v>0.071368</v>
      </c>
      <c r="W80" s="4" t="n">
        <v>0.070253</v>
      </c>
      <c r="X80" s="4" t="n">
        <v>0.065081</v>
      </c>
      <c r="Y80" s="4" t="n">
        <v>0.06182695</v>
      </c>
      <c r="Z80" s="4" t="n">
        <v>0.06742</v>
      </c>
      <c r="AA80" s="4" t="n">
        <v>0.0657345</v>
      </c>
      <c r="AB80" s="4" t="n">
        <v>0.046951</v>
      </c>
      <c r="AC80" s="4" t="n">
        <v>0.0451314501</v>
      </c>
      <c r="AD80" s="4" t="n">
        <f aca="false">AC80/(1-0.1)</f>
        <v>0.0501460556666667</v>
      </c>
      <c r="AE80" s="4" t="n">
        <f aca="false">AC80/(1-0.15)</f>
        <v>0.0530958236470588</v>
      </c>
      <c r="AF80" s="4" t="n">
        <f aca="false">AC80/(1-0.2)</f>
        <v>0.056414312625</v>
      </c>
      <c r="AG80" s="4" t="n">
        <f aca="false">AC80/(1-0.24)</f>
        <v>0.0593834869736842</v>
      </c>
      <c r="AH80" s="4" t="n">
        <v>0.09771</v>
      </c>
      <c r="AI80" s="4" t="n">
        <v>0.072595</v>
      </c>
      <c r="AJ80" s="4" t="n">
        <v>0.0839</v>
      </c>
      <c r="AK80" s="4" t="n">
        <v>0.093549</v>
      </c>
      <c r="AL80" s="4" t="n">
        <v>0.07084</v>
      </c>
      <c r="AM80" s="4" t="n">
        <v>0.041232</v>
      </c>
      <c r="AN80" s="4" t="n">
        <v>0.067697</v>
      </c>
      <c r="AO80" s="4" t="n">
        <v>0.05686548</v>
      </c>
      <c r="AP80" s="4" t="n">
        <v>0.05618851</v>
      </c>
      <c r="AQ80" s="4" t="n">
        <v>0.05551154</v>
      </c>
      <c r="AR80" s="4" t="n">
        <v>0.05483457</v>
      </c>
      <c r="AS80" s="4" t="n">
        <v>0.054496085</v>
      </c>
      <c r="AT80" s="4" t="n">
        <v>0.0541576</v>
      </c>
      <c r="AU80" s="4" t="n">
        <v>0.12083</v>
      </c>
      <c r="AV80" s="4" t="n">
        <v>0.052123</v>
      </c>
      <c r="AW80" s="4" t="n">
        <v>0.152972</v>
      </c>
      <c r="AX80" s="4" t="n">
        <v>0.10452</v>
      </c>
      <c r="AY80" s="4" t="n">
        <v>0.053991</v>
      </c>
      <c r="AZ80" s="5" t="n">
        <v>0.07535</v>
      </c>
      <c r="BA80" s="5" t="n">
        <v>0.029306</v>
      </c>
      <c r="BB80" s="5" t="n">
        <v>0.032978</v>
      </c>
      <c r="BC80" s="5" t="n">
        <v>0.019619</v>
      </c>
      <c r="BD80" s="5" t="n">
        <v>0.15502</v>
      </c>
      <c r="BE80" s="5" t="n">
        <v>0.06407</v>
      </c>
      <c r="BF80" s="5" t="n">
        <v>0.0398857</v>
      </c>
      <c r="BG80" s="5" t="n">
        <f aca="false">BF80/(1-0.2)</f>
        <v>0.049857125</v>
      </c>
      <c r="BH80" s="5" t="n">
        <f aca="false">BF80/(1-0.25)</f>
        <v>0.0531809333333333</v>
      </c>
      <c r="BI80" s="5" t="n">
        <v>0.0348424</v>
      </c>
      <c r="BJ80" s="5" t="n">
        <v>0.049793</v>
      </c>
      <c r="BK80" s="5" t="n">
        <v>0.047186</v>
      </c>
      <c r="BL80" s="5" t="n">
        <v>0.06583118</v>
      </c>
      <c r="BM80" s="5" t="n">
        <v>0.0618813092</v>
      </c>
    </row>
    <row r="81" customFormat="false" ht="15.75" hidden="false" customHeight="true" outlineLevel="0" collapsed="false">
      <c r="A81" s="2" t="n">
        <v>79</v>
      </c>
      <c r="B81" s="2" t="n">
        <v>0.05726502</v>
      </c>
      <c r="C81" s="4" t="n">
        <v>0.05756747673</v>
      </c>
      <c r="D81" s="4" t="n">
        <v>0.05756748</v>
      </c>
      <c r="E81" s="4" t="n">
        <v>0.063178</v>
      </c>
      <c r="F81" s="4" t="n">
        <v>0.06317835</v>
      </c>
      <c r="G81" s="4" t="n">
        <v>0.05843997375</v>
      </c>
      <c r="H81" s="4" t="n">
        <v>0.0596833820154611</v>
      </c>
      <c r="I81" s="4" t="n">
        <v>0.06042304</v>
      </c>
      <c r="J81" s="4" t="n">
        <v>0.0598188096</v>
      </c>
      <c r="K81" s="4" t="n">
        <v>0.0604230416408331</v>
      </c>
      <c r="L81" s="5" t="n">
        <v>0.0499120840486183</v>
      </c>
      <c r="M81" s="5" t="n">
        <f aca="false">L81/(1-0.19)</f>
        <v>0.061619856850146</v>
      </c>
      <c r="N81" s="5" t="n">
        <f aca="false">L81/(1-0.183)</f>
        <v>0.0610919021402917</v>
      </c>
      <c r="O81" s="5" t="n">
        <v>0.0611806113322994</v>
      </c>
      <c r="P81" s="5" t="n">
        <v>0.0506035659978245</v>
      </c>
      <c r="Q81" s="5" t="n">
        <v>0.0619647669629736</v>
      </c>
      <c r="R81" s="5" t="n">
        <v>0.0604156477888992</v>
      </c>
      <c r="S81" s="4" t="n">
        <v>0.041812</v>
      </c>
      <c r="T81" s="4" t="n">
        <v>0.046427</v>
      </c>
      <c r="U81" s="4" t="n">
        <f aca="false">T81/(1-0.33)</f>
        <v>0.0692940298507463</v>
      </c>
      <c r="V81" s="4" t="n">
        <v>0.078113</v>
      </c>
      <c r="W81" s="4" t="n">
        <v>0.075741</v>
      </c>
      <c r="X81" s="4" t="n">
        <v>0.070747</v>
      </c>
      <c r="Y81" s="4" t="n">
        <v>0.06720965</v>
      </c>
      <c r="Z81" s="4" t="n">
        <v>0.074583</v>
      </c>
      <c r="AA81" s="4" t="n">
        <v>0.072718425</v>
      </c>
      <c r="AB81" s="4" t="n">
        <v>0.051755</v>
      </c>
      <c r="AC81" s="4" t="n">
        <v>0.0494118483</v>
      </c>
      <c r="AD81" s="4" t="n">
        <f aca="false">AC81/(1-0.1)</f>
        <v>0.0549020536666667</v>
      </c>
      <c r="AE81" s="4" t="n">
        <f aca="false">AC81/(1-0.15)</f>
        <v>0.0581315862352941</v>
      </c>
      <c r="AF81" s="4" t="n">
        <f aca="false">AC81/(1-0.2)</f>
        <v>0.061764810375</v>
      </c>
      <c r="AG81" s="4" t="n">
        <f aca="false">AC81/(1-0.24)</f>
        <v>0.0650155898684211</v>
      </c>
      <c r="AH81" s="4" t="n">
        <v>0.10625</v>
      </c>
      <c r="AI81" s="4" t="n">
        <v>0.079692</v>
      </c>
      <c r="AJ81" s="4" t="n">
        <v>0.09105</v>
      </c>
      <c r="AK81" s="4" t="n">
        <v>0.102392</v>
      </c>
      <c r="AL81" s="4" t="n">
        <v>0.077348</v>
      </c>
      <c r="AM81" s="4" t="n">
        <v>0.044649</v>
      </c>
      <c r="AN81" s="4" t="n">
        <v>0.072997</v>
      </c>
      <c r="AO81" s="4" t="n">
        <v>0.06131748</v>
      </c>
      <c r="AP81" s="4" t="n">
        <v>0.06058751</v>
      </c>
      <c r="AQ81" s="4" t="n">
        <v>0.05985754</v>
      </c>
      <c r="AR81" s="4" t="n">
        <v>0.05912757</v>
      </c>
      <c r="AS81" s="4" t="n">
        <v>0.058762585</v>
      </c>
      <c r="AT81" s="4" t="n">
        <v>0.0583976</v>
      </c>
      <c r="AU81" s="4" t="n">
        <v>0.13173</v>
      </c>
      <c r="AV81" s="4" t="n">
        <v>0.057927</v>
      </c>
      <c r="AW81" s="4" t="n">
        <v>0.167188</v>
      </c>
      <c r="AX81" s="4" t="n">
        <v>0.11386</v>
      </c>
      <c r="AY81" s="4" t="n">
        <v>0.060066</v>
      </c>
      <c r="AZ81" s="5" t="n">
        <v>0.08302</v>
      </c>
      <c r="BA81" s="5" t="n">
        <v>0.032858</v>
      </c>
      <c r="BB81" s="5" t="n">
        <v>0.038437</v>
      </c>
      <c r="BC81" s="5" t="n">
        <v>0.022971</v>
      </c>
      <c r="BD81" s="5" t="n">
        <v>0.16893</v>
      </c>
      <c r="BE81" s="5" t="n">
        <v>0.06684</v>
      </c>
      <c r="BF81" s="5" t="n">
        <v>0.0429656</v>
      </c>
      <c r="BG81" s="5" t="n">
        <f aca="false">BF81/(1-0.2)</f>
        <v>0.053707</v>
      </c>
      <c r="BH81" s="5" t="n">
        <f aca="false">BF81/(1-0.25)</f>
        <v>0.0572874666666667</v>
      </c>
      <c r="BI81" s="5" t="n">
        <v>0.0382344</v>
      </c>
      <c r="BJ81" s="5" t="n">
        <v>0.054768</v>
      </c>
      <c r="BK81" s="5" t="n">
        <v>0.052127</v>
      </c>
      <c r="BL81" s="5" t="n">
        <v>0.07213735</v>
      </c>
      <c r="BM81" s="5" t="n">
        <v>0.067809109</v>
      </c>
    </row>
    <row r="82" customFormat="false" ht="15.75" hidden="false" customHeight="true" outlineLevel="0" collapsed="false">
      <c r="A82" s="2" t="n">
        <v>80</v>
      </c>
      <c r="B82" s="2" t="n">
        <v>0.0622839</v>
      </c>
      <c r="C82" s="4" t="n">
        <v>0.06257518411</v>
      </c>
      <c r="D82" s="4" t="n">
        <v>0.06257518</v>
      </c>
      <c r="E82" s="4" t="n">
        <v>0.068256</v>
      </c>
      <c r="F82" s="4" t="n">
        <v>0.06825638</v>
      </c>
      <c r="G82" s="4" t="n">
        <v>0.0631371515</v>
      </c>
      <c r="H82" s="4" t="n">
        <v>1</v>
      </c>
      <c r="I82" s="4" t="n">
        <v>0.06470706</v>
      </c>
      <c r="J82" s="4" t="n">
        <v>0.0640599894</v>
      </c>
      <c r="K82" s="4" t="n">
        <v>0.0647070630992944</v>
      </c>
      <c r="L82" s="5" t="n">
        <v>0.0539875275348265</v>
      </c>
      <c r="M82" s="5" t="n">
        <f aca="false">L82/(1-0.19)</f>
        <v>0.0666512685615142</v>
      </c>
      <c r="N82" s="5" t="n">
        <f aca="false">L82/(1-0.183)</f>
        <v>0.0660802050609872</v>
      </c>
      <c r="O82" s="5" t="n">
        <v>0.065473760037761</v>
      </c>
      <c r="P82" s="5" t="n">
        <v>0.0547095357553285</v>
      </c>
      <c r="Q82" s="5" t="n">
        <v>0.0662687331396844</v>
      </c>
      <c r="R82" s="5" t="n">
        <v>0.0646120148111923</v>
      </c>
      <c r="S82" s="4" t="n">
        <v>0.046037</v>
      </c>
      <c r="T82" s="4" t="n">
        <v>0.051128</v>
      </c>
      <c r="U82" s="4" t="n">
        <f aca="false">T82/(1-0.33)</f>
        <v>0.076310447761194</v>
      </c>
      <c r="V82" s="4" t="n">
        <v>0.085503</v>
      </c>
      <c r="W82" s="4" t="n">
        <v>0.081627</v>
      </c>
      <c r="X82" s="4" t="n">
        <v>0.076847</v>
      </c>
      <c r="Y82" s="4" t="n">
        <v>0.07300465</v>
      </c>
      <c r="Z82" s="4" t="n">
        <v>0.0823</v>
      </c>
      <c r="AA82" s="4" t="n">
        <v>0.0802425</v>
      </c>
      <c r="AB82" s="4" t="n">
        <v>0.057026</v>
      </c>
      <c r="AC82" s="4" t="n">
        <v>0.0540943479</v>
      </c>
      <c r="AD82" s="4" t="n">
        <f aca="false">AC82/(1-0.1)</f>
        <v>0.060104831</v>
      </c>
      <c r="AE82" s="4" t="n">
        <f aca="false">AC82/(1-0.15)</f>
        <v>0.0636404092941176</v>
      </c>
      <c r="AF82" s="4" t="n">
        <f aca="false">AC82/(1-0.2)</f>
        <v>0.067617934875</v>
      </c>
      <c r="AG82" s="4" t="n">
        <f aca="false">AC82/(1-0.24)</f>
        <v>0.0711767735526316</v>
      </c>
      <c r="AH82" s="4" t="n">
        <v>0.11548</v>
      </c>
      <c r="AI82" s="4" t="n">
        <v>0.087431</v>
      </c>
      <c r="AJ82" s="4" t="n">
        <v>0.09884</v>
      </c>
      <c r="AK82" s="4" t="n">
        <v>0.112012</v>
      </c>
      <c r="AL82" s="4" t="n">
        <v>0.084205</v>
      </c>
      <c r="AM82" s="4" t="n">
        <v>0.048159</v>
      </c>
      <c r="AN82" s="4" t="n">
        <v>0.078684</v>
      </c>
      <c r="AO82" s="4" t="n">
        <v>0.06609456</v>
      </c>
      <c r="AP82" s="4" t="n">
        <v>0.06530772</v>
      </c>
      <c r="AQ82" s="4" t="n">
        <v>0.06452088</v>
      </c>
      <c r="AR82" s="4" t="n">
        <v>0.06373404</v>
      </c>
      <c r="AS82" s="4" t="n">
        <v>0.06334062</v>
      </c>
      <c r="AT82" s="4" t="n">
        <v>0.0629472</v>
      </c>
      <c r="AU82" s="4" t="n">
        <v>0.14447</v>
      </c>
      <c r="AV82" s="4" t="n">
        <v>0.064368</v>
      </c>
      <c r="AW82" s="4" t="n">
        <v>0.182604</v>
      </c>
      <c r="AX82" s="4" t="n">
        <v>0.12403</v>
      </c>
      <c r="AY82" s="4" t="n">
        <v>0.066696</v>
      </c>
      <c r="AZ82" s="5" t="n">
        <v>0.09208</v>
      </c>
      <c r="BA82" s="5" t="n">
        <v>0.036927</v>
      </c>
      <c r="BB82" s="5" t="n">
        <v>0.044492</v>
      </c>
      <c r="BC82" s="5" t="n">
        <v>0.02677</v>
      </c>
      <c r="BD82" s="5" t="n">
        <v>0.18397</v>
      </c>
      <c r="BE82" s="5" t="n">
        <v>1</v>
      </c>
      <c r="BF82" s="5" t="n">
        <v>0.0479174</v>
      </c>
      <c r="BG82" s="5" t="n">
        <f aca="false">BF82/(1-0.2)</f>
        <v>0.05989675</v>
      </c>
      <c r="BH82" s="5" t="n">
        <f aca="false">BF82/(1-0.25)</f>
        <v>0.0638898666666667</v>
      </c>
      <c r="BI82" s="5" t="n">
        <v>0.0417852</v>
      </c>
      <c r="BJ82" s="5" t="n">
        <v>0.06066</v>
      </c>
      <c r="BK82" s="5" t="n">
        <v>0.057572</v>
      </c>
      <c r="BL82" s="5" t="n">
        <v>0.07901772</v>
      </c>
      <c r="BM82" s="5" t="n">
        <v>0.0742766568</v>
      </c>
    </row>
    <row r="83" customFormat="false" ht="15.75" hidden="false" customHeight="true" outlineLevel="0" collapsed="false">
      <c r="A83" s="2" t="n">
        <v>81</v>
      </c>
      <c r="B83" s="2" t="n">
        <v>0.06813341</v>
      </c>
      <c r="C83" s="4" t="n">
        <v>0.06841895813</v>
      </c>
      <c r="D83" s="4" t="n">
        <v>0.06841896</v>
      </c>
      <c r="E83" s="4" t="n">
        <v>0.074123</v>
      </c>
      <c r="F83" s="4" t="n">
        <v>0.07412252</v>
      </c>
      <c r="G83" s="4" t="n">
        <v>0.068563331</v>
      </c>
      <c r="H83" s="4" t="n">
        <v>1</v>
      </c>
      <c r="I83" s="4" t="n">
        <v>0.06924447</v>
      </c>
      <c r="J83" s="4" t="n">
        <v>0.0685520253</v>
      </c>
      <c r="K83" s="4" t="n">
        <v>0.0692444650407475</v>
      </c>
      <c r="L83" s="5" t="n">
        <v>0.0582577086199448</v>
      </c>
      <c r="M83" s="5" t="n">
        <f aca="false">L83/(1-0.19)</f>
        <v>0.0719230970616603</v>
      </c>
      <c r="N83" s="5" t="n">
        <f aca="false">L83/(1-0.183)</f>
        <v>0.0713068648958933</v>
      </c>
      <c r="O83" s="5" t="n">
        <v>0.0700244152147729</v>
      </c>
      <c r="P83" s="5" t="n">
        <v>0.059014660404974</v>
      </c>
      <c r="Q83" s="5" t="n">
        <v>0.0708345747116575</v>
      </c>
      <c r="R83" s="5" t="n">
        <v>0.0690637103438661</v>
      </c>
      <c r="S83" s="4" t="n">
        <v>0.050643</v>
      </c>
      <c r="T83" s="4" t="n">
        <v>0.05625</v>
      </c>
      <c r="U83" s="4" t="n">
        <f aca="false">T83/(1-0.33)</f>
        <v>0.083955223880597</v>
      </c>
      <c r="V83" s="4" t="n">
        <v>0.093593</v>
      </c>
      <c r="W83" s="4" t="n">
        <v>0.087937</v>
      </c>
      <c r="X83" s="4" t="n">
        <v>0.083411</v>
      </c>
      <c r="Y83" s="4" t="n">
        <v>0.07924045</v>
      </c>
      <c r="Z83" s="4" t="n">
        <v>0.090538</v>
      </c>
      <c r="AA83" s="4" t="n">
        <v>0.08827455</v>
      </c>
      <c r="AB83" s="4" t="n">
        <v>0.062791</v>
      </c>
      <c r="AC83" s="4" t="n">
        <v>0.0592134814</v>
      </c>
      <c r="AD83" s="4" t="n">
        <f aca="false">AC83/(1-0.1)</f>
        <v>0.0657927571111111</v>
      </c>
      <c r="AE83" s="4" t="n">
        <f aca="false">AC83/(1-0.15)</f>
        <v>0.0696629192941177</v>
      </c>
      <c r="AF83" s="4" t="n">
        <f aca="false">AC83/(1-0.2)</f>
        <v>0.07401685175</v>
      </c>
      <c r="AG83" s="4" t="n">
        <f aca="false">AC83/(1-0.24)</f>
        <v>0.0779124755263158</v>
      </c>
      <c r="AH83" s="4" t="n">
        <v>0.12532</v>
      </c>
      <c r="AI83" s="4" t="n">
        <v>0.095445</v>
      </c>
      <c r="AJ83" s="4" t="n">
        <v>0.10748</v>
      </c>
      <c r="AK83" s="4" t="n">
        <v>0.122464</v>
      </c>
      <c r="AL83" s="4" t="n">
        <v>0.091412</v>
      </c>
      <c r="AM83" s="4" t="n">
        <v>0.051743</v>
      </c>
      <c r="AN83" s="4" t="n">
        <v>0.084782</v>
      </c>
      <c r="AO83" s="4" t="n">
        <v>0.07121688</v>
      </c>
      <c r="AP83" s="4" t="n">
        <v>0.07036906</v>
      </c>
      <c r="AQ83" s="4" t="n">
        <v>0.06952124</v>
      </c>
      <c r="AR83" s="4" t="n">
        <v>0.06867342</v>
      </c>
      <c r="AS83" s="4" t="n">
        <v>0.06824951</v>
      </c>
      <c r="AT83" s="4" t="n">
        <v>0.0678256</v>
      </c>
      <c r="AU83" s="4" t="n">
        <v>0.1586</v>
      </c>
      <c r="AV83" s="4" t="n">
        <v>0.072041</v>
      </c>
      <c r="AW83" s="4" t="n">
        <v>0.199296</v>
      </c>
      <c r="AX83" s="4" t="n">
        <v>0.13508</v>
      </c>
      <c r="AY83" s="4" t="n">
        <v>0.07378</v>
      </c>
      <c r="AZ83" s="5" t="n">
        <v>1</v>
      </c>
      <c r="BA83" s="5" t="n">
        <v>0.041703</v>
      </c>
      <c r="BB83" s="5" t="n">
        <v>0.051086</v>
      </c>
      <c r="BC83" s="5" t="n">
        <v>0.030989</v>
      </c>
      <c r="BD83" s="5" t="n">
        <v>0.20014</v>
      </c>
      <c r="BE83" s="5" t="n">
        <v>1</v>
      </c>
      <c r="BF83" s="5" t="n">
        <v>0.0528419</v>
      </c>
      <c r="BG83" s="5" t="n">
        <f aca="false">BF83/(1-0.2)</f>
        <v>0.066052375</v>
      </c>
      <c r="BH83" s="5" t="n">
        <f aca="false">BF83/(1-0.25)</f>
        <v>0.0704558666666667</v>
      </c>
      <c r="BI83" s="5" t="n">
        <v>0.0457989</v>
      </c>
      <c r="BJ83" s="5" t="n">
        <v>0.067027</v>
      </c>
      <c r="BK83" s="5" t="n">
        <v>0.063567</v>
      </c>
      <c r="BL83" s="5" t="n">
        <v>0.08651927</v>
      </c>
      <c r="BM83" s="5" t="n">
        <v>0.0813281138</v>
      </c>
    </row>
    <row r="84" customFormat="false" ht="15.75" hidden="false" customHeight="true" outlineLevel="0" collapsed="false">
      <c r="A84" s="2" t="n">
        <v>82</v>
      </c>
      <c r="B84" s="2" t="n">
        <v>0.0752066</v>
      </c>
      <c r="C84" s="4" t="n">
        <v>0.07549927067</v>
      </c>
      <c r="D84" s="4" t="n">
        <v>0.07549927</v>
      </c>
      <c r="E84" s="4" t="n">
        <v>0.081139</v>
      </c>
      <c r="F84" s="4" t="n">
        <v>0.08113914</v>
      </c>
      <c r="G84" s="4" t="n">
        <v>0.0750537045</v>
      </c>
      <c r="H84" s="4" t="n">
        <v>1</v>
      </c>
      <c r="I84" s="4" t="n">
        <v>0.07407063</v>
      </c>
      <c r="J84" s="4" t="n">
        <v>0.0733299237</v>
      </c>
      <c r="K84" s="4" t="n">
        <v>0.074070626331318</v>
      </c>
      <c r="L84" s="5" t="n">
        <v>0.0627500503149682</v>
      </c>
      <c r="M84" s="5" t="n">
        <f aca="false">L84/(1-0.19)</f>
        <v>0.0774691979197138</v>
      </c>
      <c r="N84" s="5" t="n">
        <f aca="false">L84/(1-0.183)</f>
        <v>0.0768054471419439</v>
      </c>
      <c r="O84" s="5" t="n">
        <v>0.0748685290042043</v>
      </c>
      <c r="P84" s="5" t="n">
        <v>0.0635470118268361</v>
      </c>
      <c r="Q84" s="5" t="n">
        <v>0.0756988638504778</v>
      </c>
      <c r="R84" s="5" t="n">
        <v>0.0738063922542158</v>
      </c>
      <c r="S84" s="4" t="n">
        <v>0.055651</v>
      </c>
      <c r="T84" s="4" t="n">
        <v>0.061809</v>
      </c>
      <c r="U84" s="4" t="n">
        <f aca="false">T84/(1-0.33)</f>
        <v>0.0922522388059702</v>
      </c>
      <c r="V84" s="4" t="n">
        <v>0.102443</v>
      </c>
      <c r="W84" s="4" t="n">
        <v>0.0947</v>
      </c>
      <c r="X84" s="4" t="n">
        <v>0.090471</v>
      </c>
      <c r="Y84" s="4" t="n">
        <v>0.08594745</v>
      </c>
      <c r="Z84" s="4" t="n">
        <v>0.099244</v>
      </c>
      <c r="AA84" s="4" t="n">
        <v>0.0967629</v>
      </c>
      <c r="AB84" s="4" t="n">
        <v>0.069081</v>
      </c>
      <c r="AC84" s="4" t="n">
        <v>0.064808708</v>
      </c>
      <c r="AD84" s="4" t="n">
        <f aca="false">AC84/(1-0.1)</f>
        <v>0.0720096755555556</v>
      </c>
      <c r="AE84" s="4" t="n">
        <f aca="false">AC84/(1-0.15)</f>
        <v>0.0762455388235294</v>
      </c>
      <c r="AF84" s="4" t="n">
        <f aca="false">AC84/(1-0.2)</f>
        <v>0.081010885</v>
      </c>
      <c r="AG84" s="4" t="n">
        <f aca="false">AC84/(1-0.24)</f>
        <v>0.0852746157894737</v>
      </c>
      <c r="AH84" s="4" t="n">
        <v>0.13563</v>
      </c>
      <c r="AI84" s="4" t="n">
        <v>0.103691</v>
      </c>
      <c r="AJ84" s="4" t="n">
        <v>0.11725</v>
      </c>
      <c r="AK84" s="4" t="n">
        <v>0.133806</v>
      </c>
      <c r="AL84" s="4" t="n">
        <v>0.098969</v>
      </c>
      <c r="AM84" s="4" t="n">
        <v>0.055383</v>
      </c>
      <c r="AN84" s="4" t="n">
        <v>0.091319</v>
      </c>
      <c r="AO84" s="4" t="n">
        <v>0.07670796</v>
      </c>
      <c r="AP84" s="4" t="n">
        <v>0.07579477</v>
      </c>
      <c r="AQ84" s="4" t="n">
        <v>0.07488158</v>
      </c>
      <c r="AR84" s="4" t="n">
        <v>0.07396839</v>
      </c>
      <c r="AS84" s="4" t="n">
        <v>0.073511795</v>
      </c>
      <c r="AT84" s="4" t="n">
        <v>0.0730552</v>
      </c>
      <c r="AU84" s="4" t="n">
        <v>0.1743</v>
      </c>
      <c r="AV84" s="4" t="n">
        <v>0.080486</v>
      </c>
      <c r="AW84" s="4" t="n">
        <v>0.217339</v>
      </c>
      <c r="AX84" s="4" t="n">
        <v>0.14708</v>
      </c>
      <c r="AY84" s="4" t="n">
        <v>0.081217</v>
      </c>
      <c r="AZ84" s="5" t="n">
        <v>1</v>
      </c>
      <c r="BA84" s="5" t="n">
        <v>0.046957</v>
      </c>
      <c r="BB84" s="5" t="n">
        <v>0.058173</v>
      </c>
      <c r="BC84" s="5" t="n">
        <v>0.035598</v>
      </c>
      <c r="BD84" s="5" t="n">
        <v>0.21788</v>
      </c>
      <c r="BE84" s="5" t="n">
        <v>1</v>
      </c>
      <c r="BF84" s="5" t="n">
        <v>0.0586542</v>
      </c>
      <c r="BG84" s="5" t="n">
        <f aca="false">BF84/(1-0.2)</f>
        <v>0.07331775</v>
      </c>
      <c r="BH84" s="5" t="n">
        <f aca="false">BF84/(1-0.25)</f>
        <v>0.0782056</v>
      </c>
      <c r="BI84" s="5" t="n">
        <v>0.049948</v>
      </c>
      <c r="BJ84" s="5" t="n">
        <v>0.073999</v>
      </c>
      <c r="BK84" s="5" t="n">
        <v>0.070165</v>
      </c>
      <c r="BL84" s="5" t="n">
        <v>0.0946918</v>
      </c>
      <c r="BM84" s="5" t="n">
        <v>0.089010292</v>
      </c>
    </row>
    <row r="85" customFormat="false" ht="15.75" hidden="false" customHeight="true" outlineLevel="0" collapsed="false">
      <c r="A85" s="2" t="n">
        <v>83</v>
      </c>
      <c r="B85" s="2" t="n">
        <v>0.08373091</v>
      </c>
      <c r="C85" s="4" t="n">
        <v>0.08404688837</v>
      </c>
      <c r="D85" s="4" t="n">
        <v>0.08404689</v>
      </c>
      <c r="E85" s="4" t="n">
        <v>0.089509</v>
      </c>
      <c r="F85" s="4" t="n">
        <v>0.08950872</v>
      </c>
      <c r="G85" s="4" t="n">
        <v>0.082795566</v>
      </c>
      <c r="H85" s="4" t="n">
        <v>1</v>
      </c>
      <c r="I85" s="4" t="n">
        <v>0.07922696</v>
      </c>
      <c r="J85" s="4" t="n">
        <v>0.0784346904</v>
      </c>
      <c r="K85" s="4" t="n">
        <v>0.0792269591096204</v>
      </c>
      <c r="L85" s="5" t="n">
        <v>0.0674961397803556</v>
      </c>
      <c r="M85" s="5" t="n">
        <f aca="false">L85/(1-0.19)</f>
        <v>0.0833285676300686</v>
      </c>
      <c r="N85" s="5" t="n">
        <f aca="false">L85/(1-0.183)</f>
        <v>0.0826146141742419</v>
      </c>
      <c r="O85" s="5" t="n">
        <v>0.0800482264823999</v>
      </c>
      <c r="P85" s="5" t="n">
        <v>0.0683389661621891</v>
      </c>
      <c r="Q85" s="5" t="n">
        <v>0.0809044962353279</v>
      </c>
      <c r="R85" s="5" t="n">
        <v>0.0788818838294447</v>
      </c>
      <c r="S85" s="4" t="n">
        <v>0.06108</v>
      </c>
      <c r="T85" s="4" t="n">
        <v>0.067826</v>
      </c>
      <c r="U85" s="4" t="n">
        <f aca="false">T85/(1-0.33)</f>
        <v>0.101232835820896</v>
      </c>
      <c r="V85" s="4" t="n">
        <v>0.112113</v>
      </c>
      <c r="W85" s="4" t="n">
        <v>0.101944</v>
      </c>
      <c r="X85" s="4" t="n">
        <v>0.098061</v>
      </c>
      <c r="Y85" s="4" t="n">
        <v>0.09315795</v>
      </c>
      <c r="Z85" s="4" t="n">
        <v>0.108361</v>
      </c>
      <c r="AA85" s="4" t="n">
        <v>0.105651975</v>
      </c>
      <c r="AB85" s="4" t="n">
        <v>0.075908</v>
      </c>
      <c r="AC85" s="4" t="n">
        <v>0.0709234783</v>
      </c>
      <c r="AD85" s="4" t="n">
        <f aca="false">AC85/(1-0.1)</f>
        <v>0.0788038647777778</v>
      </c>
      <c r="AE85" s="4" t="n">
        <f aca="false">AC85/(1-0.15)</f>
        <v>0.0834393862352941</v>
      </c>
      <c r="AF85" s="4" t="n">
        <f aca="false">AC85/(1-0.2)</f>
        <v>0.088654347875</v>
      </c>
      <c r="AG85" s="4" t="n">
        <f aca="false">AC85/(1-0.24)</f>
        <v>0.0933203661842105</v>
      </c>
      <c r="AH85" s="4" t="n">
        <v>0.14635</v>
      </c>
      <c r="AI85" s="4" t="n">
        <v>0.112303</v>
      </c>
      <c r="AJ85" s="4" t="n">
        <v>0.12826</v>
      </c>
      <c r="AK85" s="4" t="n">
        <v>0.146099</v>
      </c>
      <c r="AL85" s="4" t="n">
        <v>0.106876</v>
      </c>
      <c r="AM85" s="4" t="n">
        <v>0.059062</v>
      </c>
      <c r="AN85" s="4" t="n">
        <v>0.098322</v>
      </c>
      <c r="AO85" s="4" t="n">
        <v>0.08259048</v>
      </c>
      <c r="AP85" s="4" t="n">
        <v>0.08160726</v>
      </c>
      <c r="AQ85" s="4" t="n">
        <v>0.08062404</v>
      </c>
      <c r="AR85" s="4" t="n">
        <v>0.07964082</v>
      </c>
      <c r="AS85" s="4" t="n">
        <v>0.07914921</v>
      </c>
      <c r="AT85" s="4" t="n">
        <v>0.0786576</v>
      </c>
      <c r="AU85" s="4" t="n">
        <v>0.19156</v>
      </c>
      <c r="AV85" s="4" t="n">
        <v>0.089718</v>
      </c>
      <c r="AW85" s="4" t="n">
        <v>0.23681</v>
      </c>
      <c r="AX85" s="4" t="n">
        <v>0.16009</v>
      </c>
      <c r="AY85" s="4" t="n">
        <v>0.088721</v>
      </c>
      <c r="AZ85" s="5" t="n">
        <v>1</v>
      </c>
      <c r="BA85" s="5" t="n">
        <v>0.052713</v>
      </c>
      <c r="BB85" s="5" t="n">
        <v>0.065722</v>
      </c>
      <c r="BC85" s="5" t="n">
        <v>0.040576</v>
      </c>
      <c r="BD85" s="5" t="n">
        <v>0.23677</v>
      </c>
      <c r="BE85" s="5" t="n">
        <v>1</v>
      </c>
      <c r="BF85" s="5" t="n">
        <v>0.0638227</v>
      </c>
      <c r="BG85" s="5" t="n">
        <f aca="false">BF85/(1-0.2)</f>
        <v>0.079778375</v>
      </c>
      <c r="BH85" s="5" t="n">
        <f aca="false">BF85/(1-0.25)</f>
        <v>0.0850969333333333</v>
      </c>
      <c r="BI85" s="5" t="n">
        <v>0.0544018</v>
      </c>
      <c r="BJ85" s="5" t="n">
        <v>0.081737</v>
      </c>
      <c r="BK85" s="5" t="n">
        <v>0.07742</v>
      </c>
      <c r="BL85" s="5" t="n">
        <v>0.10358777</v>
      </c>
      <c r="BM85" s="5" t="n">
        <v>0.0973725038</v>
      </c>
    </row>
    <row r="86" customFormat="false" ht="15.75" hidden="false" customHeight="true" outlineLevel="0" collapsed="false">
      <c r="A86" s="2" t="n">
        <v>84</v>
      </c>
      <c r="B86" s="2" t="n">
        <v>0.09370593</v>
      </c>
      <c r="C86" s="4" t="n">
        <v>0.09406012132</v>
      </c>
      <c r="D86" s="4" t="n">
        <v>0.09406012</v>
      </c>
      <c r="E86" s="4" t="n">
        <v>0.099233</v>
      </c>
      <c r="F86" s="4" t="n">
        <v>0.0992326</v>
      </c>
      <c r="G86" s="4" t="n">
        <v>0.091790155</v>
      </c>
      <c r="H86" s="4" t="n">
        <v>1</v>
      </c>
      <c r="I86" s="4" t="n">
        <v>0.0847623</v>
      </c>
      <c r="J86" s="4" t="n">
        <v>0.083914677</v>
      </c>
      <c r="K86" s="4" t="n">
        <v>0.0847623001321536</v>
      </c>
      <c r="L86" s="5" t="n">
        <v>0.0725326357766616</v>
      </c>
      <c r="M86" s="5" t="n">
        <f aca="false">L86/(1-0.19)</f>
        <v>0.0895464639218044</v>
      </c>
      <c r="N86" s="5" t="n">
        <f aca="false">L86/(1-0.183)</f>
        <v>0.0887792359567461</v>
      </c>
      <c r="O86" s="5" t="n">
        <v>0.0856132347121941</v>
      </c>
      <c r="P86" s="5" t="n">
        <v>0.0734281467580609</v>
      </c>
      <c r="Q86" s="5" t="n">
        <v>0.0865021610735546</v>
      </c>
      <c r="R86" s="5" t="n">
        <v>0.0843396070467157</v>
      </c>
      <c r="S86" s="4" t="n">
        <v>0.066948</v>
      </c>
      <c r="T86" s="4" t="n">
        <v>0.074322</v>
      </c>
      <c r="U86" s="4" t="n">
        <f aca="false">T86/(1-0.33)</f>
        <v>0.110928358208955</v>
      </c>
      <c r="V86" s="4" t="n">
        <v>0.122669</v>
      </c>
      <c r="W86" s="4" t="n">
        <v>0.109694</v>
      </c>
      <c r="X86" s="4" t="n">
        <v>0.106217</v>
      </c>
      <c r="Y86" s="4" t="n">
        <v>0.10090615</v>
      </c>
      <c r="Z86" s="4" t="n">
        <v>0.11783</v>
      </c>
      <c r="AA86" s="4" t="n">
        <v>0.11488425</v>
      </c>
      <c r="AB86" s="4" t="n">
        <v>0.08323</v>
      </c>
      <c r="AC86" s="4" t="n">
        <v>0.0776062615</v>
      </c>
      <c r="AD86" s="4" t="n">
        <f aca="false">AC86/(1-0.1)</f>
        <v>0.0862291794444444</v>
      </c>
      <c r="AE86" s="4" t="n">
        <f aca="false">AC86/(1-0.15)</f>
        <v>0.0913014841176471</v>
      </c>
      <c r="AF86" s="4" t="n">
        <f aca="false">AC86/(1-0.2)</f>
        <v>0.097007826875</v>
      </c>
      <c r="AG86" s="4" t="n">
        <f aca="false">AC86/(1-0.24)</f>
        <v>0.102113501973684</v>
      </c>
      <c r="AH86" s="4" t="n">
        <v>0.15751</v>
      </c>
      <c r="AI86" s="4" t="n">
        <v>0.121116</v>
      </c>
      <c r="AJ86" s="4" t="n">
        <v>0.14025</v>
      </c>
      <c r="AK86" s="4" t="n">
        <v>0.159402</v>
      </c>
      <c r="AL86" s="4" t="n">
        <v>0.115132</v>
      </c>
      <c r="AM86" s="4" t="n">
        <v>0.062764</v>
      </c>
      <c r="AN86" s="4" t="n">
        <v>0.105819</v>
      </c>
      <c r="AO86" s="4" t="n">
        <v>0.08888796</v>
      </c>
      <c r="AP86" s="4" t="n">
        <v>0.08782977</v>
      </c>
      <c r="AQ86" s="4" t="n">
        <v>0.08677158</v>
      </c>
      <c r="AR86" s="4" t="n">
        <v>0.08571339</v>
      </c>
      <c r="AS86" s="4" t="n">
        <v>0.085184295</v>
      </c>
      <c r="AT86" s="4" t="n">
        <v>0.0846552</v>
      </c>
      <c r="AU86" s="4" t="n">
        <v>0.21136</v>
      </c>
      <c r="AV86" s="4" t="n">
        <v>0.099779</v>
      </c>
      <c r="AW86" s="4" t="n">
        <v>0.257781</v>
      </c>
      <c r="AX86" s="4" t="n">
        <v>0.17417</v>
      </c>
      <c r="AY86" s="4" t="n">
        <v>0.096358</v>
      </c>
      <c r="AZ86" s="5" t="n">
        <v>1</v>
      </c>
      <c r="BA86" s="5" t="n">
        <v>0.059148</v>
      </c>
      <c r="BB86" s="5" t="n">
        <v>0.073729</v>
      </c>
      <c r="BC86" s="5" t="n">
        <v>0.045915</v>
      </c>
      <c r="BD86" s="5" t="n">
        <v>0.25721</v>
      </c>
      <c r="BE86" s="5" t="n">
        <v>1</v>
      </c>
      <c r="BF86" s="5" t="n">
        <v>0.0694993</v>
      </c>
      <c r="BG86" s="5" t="n">
        <f aca="false">BF86/(1-0.2)</f>
        <v>0.086874125</v>
      </c>
      <c r="BH86" s="5" t="n">
        <f aca="false">BF86/(1-0.25)</f>
        <v>0.0926657333333333</v>
      </c>
      <c r="BI86" s="5" t="n">
        <v>0.0597001</v>
      </c>
      <c r="BJ86" s="5" t="n">
        <v>0.090458</v>
      </c>
      <c r="BK86" s="5" t="n">
        <v>0.085391</v>
      </c>
      <c r="BL86" s="5" t="n">
        <v>0.11326218</v>
      </c>
      <c r="BM86" s="5" t="n">
        <v>0.1064664492</v>
      </c>
    </row>
    <row r="87" customFormat="false" ht="15.75" hidden="false" customHeight="true" outlineLevel="0" collapsed="false">
      <c r="A87" s="2" t="n">
        <v>85</v>
      </c>
      <c r="B87" s="2" t="n">
        <v>0.10458275</v>
      </c>
      <c r="C87" s="4" t="n">
        <v>0.1049774342</v>
      </c>
      <c r="D87" s="4" t="n">
        <v>0.10497743</v>
      </c>
      <c r="E87" s="4" t="n">
        <v>0.109845</v>
      </c>
      <c r="F87" s="4" t="n">
        <v>0.10984481</v>
      </c>
      <c r="G87" s="4" t="n">
        <v>0.10160644925</v>
      </c>
      <c r="H87" s="4" t="n">
        <v>1</v>
      </c>
      <c r="I87" s="4" t="n">
        <v>0.09073469</v>
      </c>
      <c r="J87" s="4" t="n">
        <v>0.0898273431</v>
      </c>
      <c r="K87" s="4" t="n">
        <v>0.0907346948950622</v>
      </c>
      <c r="L87" s="5" t="n">
        <v>0.0779024109749862</v>
      </c>
      <c r="M87" s="5" t="n">
        <f aca="false">L87/(1-0.19)</f>
        <v>0.0961758160185014</v>
      </c>
      <c r="N87" s="5" t="n">
        <f aca="false">L87/(1-0.183)</f>
        <v>0.0953517882190773</v>
      </c>
      <c r="O87" s="5" t="n">
        <v>0.0916227173249555</v>
      </c>
      <c r="P87" s="5" t="n">
        <v>0.0788586130603631</v>
      </c>
      <c r="Q87" s="5" t="n">
        <v>0.0925522305655795</v>
      </c>
      <c r="R87" s="5" t="n">
        <v>0.09023842480144</v>
      </c>
      <c r="S87" s="4" t="n">
        <v>0.073275</v>
      </c>
      <c r="T87" s="4" t="n">
        <v>0.081326</v>
      </c>
      <c r="U87" s="4" t="n">
        <f aca="false">T87/(1-0.33)</f>
        <v>0.121382089552239</v>
      </c>
      <c r="V87" s="4" t="n">
        <v>0.134178</v>
      </c>
      <c r="W87" s="4" t="n">
        <v>0.117987</v>
      </c>
      <c r="X87" s="4" t="n">
        <v>0.114977</v>
      </c>
      <c r="Y87" s="4" t="n">
        <v>0.10922815</v>
      </c>
      <c r="Z87" s="4" t="n">
        <v>0.127595</v>
      </c>
      <c r="AA87" s="4" t="n">
        <v>0.124405125</v>
      </c>
      <c r="AB87" s="4" t="n">
        <v>0.090987</v>
      </c>
      <c r="AC87" s="4" t="n">
        <v>0.0849002274</v>
      </c>
      <c r="AD87" s="4" t="n">
        <f aca="false">AC87/(1-0.1)</f>
        <v>0.094333586</v>
      </c>
      <c r="AE87" s="4" t="n">
        <f aca="false">AC87/(1-0.15)</f>
        <v>0.0998826204705882</v>
      </c>
      <c r="AF87" s="4" t="n">
        <f aca="false">AC87/(1-0.2)</f>
        <v>0.10612528425</v>
      </c>
      <c r="AG87" s="4" t="n">
        <f aca="false">AC87/(1-0.24)</f>
        <v>0.111710825526316</v>
      </c>
      <c r="AH87" s="4" t="n">
        <v>0.1692</v>
      </c>
      <c r="AI87" s="4" t="n">
        <v>0.130102</v>
      </c>
      <c r="AJ87" s="4" t="n">
        <v>0.15295</v>
      </c>
      <c r="AK87" s="4" t="n">
        <v>0.173775</v>
      </c>
      <c r="AL87" s="4" t="n">
        <v>0.123739</v>
      </c>
      <c r="AM87" s="4" t="n">
        <v>0.066473</v>
      </c>
      <c r="AN87" s="4" t="n">
        <v>0.113841</v>
      </c>
      <c r="AO87" s="4" t="n">
        <v>0.09562644</v>
      </c>
      <c r="AP87" s="4" t="n">
        <v>0.09448803</v>
      </c>
      <c r="AQ87" s="4" t="n">
        <v>0.09334962</v>
      </c>
      <c r="AR87" s="4" t="n">
        <v>0.09221121</v>
      </c>
      <c r="AS87" s="4" t="n">
        <v>0.091642005</v>
      </c>
      <c r="AT87" s="4" t="n">
        <v>0.0910728</v>
      </c>
      <c r="AU87" s="4" t="n">
        <v>0.23555</v>
      </c>
      <c r="AV87" s="4" t="n">
        <v>0.110757</v>
      </c>
      <c r="AW87" s="4" t="n">
        <v>0.280322</v>
      </c>
      <c r="AX87" s="4" t="n">
        <v>0.18939</v>
      </c>
      <c r="AY87" s="4" t="n">
        <v>0.104559</v>
      </c>
      <c r="AZ87" s="5" t="n">
        <v>1</v>
      </c>
      <c r="BA87" s="5" t="n">
        <v>0.066505</v>
      </c>
      <c r="BB87" s="5" t="n">
        <v>0.082223</v>
      </c>
      <c r="BC87" s="5" t="n">
        <v>0.051616</v>
      </c>
      <c r="BD87" s="5" t="n">
        <v>0.27978</v>
      </c>
      <c r="BE87" s="5" t="n">
        <v>1</v>
      </c>
      <c r="BF87" s="5" t="n">
        <v>0.0773917</v>
      </c>
      <c r="BG87" s="5" t="n">
        <f aca="false">BF87/(1-0.2)</f>
        <v>0.096739625</v>
      </c>
      <c r="BH87" s="5" t="n">
        <f aca="false">BF87/(1-0.25)</f>
        <v>0.103188933333333</v>
      </c>
      <c r="BI87" s="5" t="n">
        <v>0.066509</v>
      </c>
      <c r="BJ87" s="5" t="n">
        <v>0.100525</v>
      </c>
      <c r="BK87" s="5" t="n">
        <v>0.094142</v>
      </c>
      <c r="BL87" s="5" t="n">
        <v>0.12377241</v>
      </c>
      <c r="BM87" s="5" t="n">
        <v>0.1163460654</v>
      </c>
    </row>
    <row r="88" customFormat="false" ht="15.75" hidden="false" customHeight="true" outlineLevel="0" collapsed="false">
      <c r="A88" s="2" t="n">
        <v>86</v>
      </c>
      <c r="B88" s="2" t="n">
        <v>0.11555068</v>
      </c>
      <c r="C88" s="4" t="n">
        <v>0.1159705767</v>
      </c>
      <c r="D88" s="4" t="n">
        <v>0.11597058</v>
      </c>
      <c r="E88" s="4" t="n">
        <v>0.120674</v>
      </c>
      <c r="F88" s="4" t="n">
        <v>0.12067368</v>
      </c>
      <c r="G88" s="4" t="n">
        <v>0.111623154</v>
      </c>
      <c r="H88" s="4" t="n">
        <v>1</v>
      </c>
      <c r="I88" s="4" t="n">
        <v>0.09721371</v>
      </c>
      <c r="J88" s="4" t="n">
        <v>0.0962415729</v>
      </c>
      <c r="K88" s="4" t="n">
        <v>0.097213709224628</v>
      </c>
      <c r="L88" s="5" t="n">
        <v>0.0836560037500196</v>
      </c>
      <c r="M88" s="5" t="n">
        <f aca="false">L88/(1-0.19)</f>
        <v>0.103279016975333</v>
      </c>
      <c r="N88" s="5" t="n">
        <f aca="false">L88/(1-0.183)</f>
        <v>0.102394129436988</v>
      </c>
      <c r="O88" s="5" t="n">
        <v>0.0981476543742222</v>
      </c>
      <c r="P88" s="5" t="n">
        <v>0.0846823741383811</v>
      </c>
      <c r="Q88" s="5" t="n">
        <v>0.0991272140916803</v>
      </c>
      <c r="R88" s="5" t="n">
        <v>0.0966490337393883</v>
      </c>
      <c r="S88" s="4" t="n">
        <v>0.080076</v>
      </c>
      <c r="T88" s="4" t="n">
        <v>0.088863</v>
      </c>
      <c r="U88" s="4" t="n">
        <f aca="false">T88/(1-0.33)</f>
        <v>0.132631343283582</v>
      </c>
      <c r="V88" s="4" t="n">
        <v>0.146709</v>
      </c>
      <c r="W88" s="4" t="n">
        <v>0.126843</v>
      </c>
      <c r="X88" s="4" t="n">
        <v>0.12438</v>
      </c>
      <c r="Y88" s="4" t="n">
        <v>0.118161</v>
      </c>
      <c r="Z88" s="4" t="n">
        <v>0.137967</v>
      </c>
      <c r="AA88" s="4" t="n">
        <v>0.134517825</v>
      </c>
      <c r="AB88" s="4" t="n">
        <v>0.099122</v>
      </c>
      <c r="AC88" s="4" t="n">
        <v>0.0928587468</v>
      </c>
      <c r="AD88" s="4" t="n">
        <f aca="false">AC88/(1-0.1)</f>
        <v>0.103176385333333</v>
      </c>
      <c r="AE88" s="4" t="n">
        <f aca="false">AC88/(1-0.15)</f>
        <v>0.109245584470588</v>
      </c>
      <c r="AF88" s="4" t="n">
        <f aca="false">AC88/(1-0.2)</f>
        <v>0.1160734335</v>
      </c>
      <c r="AG88" s="4" t="n">
        <f aca="false">AC88/(1-0.24)</f>
        <v>0.122182561578947</v>
      </c>
      <c r="AH88" s="4" t="n">
        <v>0.18146</v>
      </c>
      <c r="AI88" s="4" t="n">
        <v>0.139315</v>
      </c>
      <c r="AJ88" s="4" t="n">
        <v>0.16609</v>
      </c>
      <c r="AK88" s="4" t="n">
        <v>0.189278</v>
      </c>
      <c r="AL88" s="4" t="n">
        <v>0.132695</v>
      </c>
      <c r="AM88" s="4" t="n">
        <v>0.070175</v>
      </c>
      <c r="AN88" s="4" t="n">
        <v>0.122415</v>
      </c>
      <c r="AO88" s="4" t="n">
        <v>0.1028286</v>
      </c>
      <c r="AP88" s="4" t="n">
        <v>0.10160445</v>
      </c>
      <c r="AQ88" s="4" t="n">
        <v>0.1003803</v>
      </c>
      <c r="AR88" s="4" t="n">
        <v>0.09915615</v>
      </c>
      <c r="AS88" s="4" t="n">
        <v>0.098544075</v>
      </c>
      <c r="AT88" s="4" t="n">
        <v>0.097932</v>
      </c>
      <c r="AU88" s="4" t="n">
        <v>0.26568</v>
      </c>
      <c r="AV88" s="4" t="n">
        <v>0.122797</v>
      </c>
      <c r="AW88" s="4" t="n">
        <v>0.304497</v>
      </c>
      <c r="AX88" s="4" t="n">
        <v>0.20581</v>
      </c>
      <c r="AY88" s="4" t="n">
        <v>0.113755</v>
      </c>
      <c r="AZ88" s="5" t="n">
        <v>1</v>
      </c>
      <c r="BA88" s="5" t="n">
        <v>0.075015</v>
      </c>
      <c r="BB88" s="5" t="n">
        <v>0.091239</v>
      </c>
      <c r="BC88" s="5" t="n">
        <v>0.057646</v>
      </c>
      <c r="BD88" s="5" t="n">
        <v>0.3025</v>
      </c>
      <c r="BE88" s="5" t="n">
        <v>1</v>
      </c>
      <c r="BF88" s="5" t="n">
        <v>0.0847935</v>
      </c>
      <c r="BG88" s="5" t="n">
        <f aca="false">BF88/(1-0.2)</f>
        <v>0.105991875</v>
      </c>
      <c r="BH88" s="5" t="n">
        <f aca="false">BF88/(1-0.25)</f>
        <v>0.113058</v>
      </c>
      <c r="BI88" s="5" t="n">
        <v>0.0744187</v>
      </c>
      <c r="BJ88" s="5" t="n">
        <v>0.111793</v>
      </c>
      <c r="BK88" s="5" t="n">
        <v>0.103739</v>
      </c>
      <c r="BL88" s="5" t="n">
        <v>0.13517781</v>
      </c>
      <c r="BM88" s="5" t="n">
        <v>0.1270671414</v>
      </c>
    </row>
    <row r="89" customFormat="false" ht="15.75" hidden="false" customHeight="true" outlineLevel="0" collapsed="false">
      <c r="A89" s="2" t="n">
        <v>87</v>
      </c>
      <c r="B89" s="2" t="n">
        <v>0.12568291</v>
      </c>
      <c r="C89" s="4" t="n">
        <v>0.1260944876</v>
      </c>
      <c r="D89" s="4" t="n">
        <v>0.12609449</v>
      </c>
      <c r="E89" s="4" t="n">
        <v>0.130958</v>
      </c>
      <c r="F89" s="4" t="n">
        <v>0.13095818</v>
      </c>
      <c r="G89" s="4" t="n">
        <v>0.1211363165</v>
      </c>
      <c r="H89" s="4" t="n">
        <v>1</v>
      </c>
      <c r="I89" s="4" t="n">
        <v>0.10428346</v>
      </c>
      <c r="J89" s="4" t="n">
        <v>0.1032406254</v>
      </c>
      <c r="K89" s="4" t="n">
        <v>0.104283457651465</v>
      </c>
      <c r="L89" s="5" t="n">
        <v>0.0898534819396233</v>
      </c>
      <c r="M89" s="5" t="n">
        <f aca="false">L89/(1-0.19)</f>
        <v>0.110930224616819</v>
      </c>
      <c r="N89" s="5" t="n">
        <f aca="false">L89/(1-0.183)</f>
        <v>0.109979782055842</v>
      </c>
      <c r="O89" s="5" t="n">
        <v>0.105273964160108</v>
      </c>
      <c r="P89" s="5" t="n">
        <v>0.0909613351202396</v>
      </c>
      <c r="Q89" s="5" t="n">
        <v>0.10631498193183</v>
      </c>
      <c r="R89" s="5" t="n">
        <v>0.103657107383534</v>
      </c>
      <c r="S89" s="4" t="n">
        <v>0.08737</v>
      </c>
      <c r="T89" s="4" t="n">
        <v>0.096958</v>
      </c>
      <c r="U89" s="4" t="n">
        <f aca="false">T89/(1-0.33)</f>
        <v>0.144713432835821</v>
      </c>
      <c r="V89" s="4" t="n">
        <v>0.160333</v>
      </c>
      <c r="W89" s="4" t="n">
        <v>0.136307</v>
      </c>
      <c r="X89" s="4" t="n">
        <v>0.134466</v>
      </c>
      <c r="Y89" s="4" t="n">
        <v>0.1277427</v>
      </c>
      <c r="Z89" s="4" t="n">
        <v>0.148744</v>
      </c>
      <c r="AA89" s="4" t="n">
        <v>0.1450254</v>
      </c>
      <c r="AB89" s="4" t="n">
        <v>0.107577</v>
      </c>
      <c r="AC89" s="4" t="n">
        <v>0.101542411</v>
      </c>
      <c r="AD89" s="4" t="n">
        <f aca="false">AC89/(1-0.1)</f>
        <v>0.112824901111111</v>
      </c>
      <c r="AE89" s="4" t="n">
        <f aca="false">AC89/(1-0.15)</f>
        <v>0.11946166</v>
      </c>
      <c r="AF89" s="4" t="n">
        <f aca="false">AC89/(1-0.2)</f>
        <v>0.12692801375</v>
      </c>
      <c r="AG89" s="4" t="n">
        <f aca="false">AC89/(1-0.24)</f>
        <v>0.133608435526316</v>
      </c>
      <c r="AH89" s="4" t="n">
        <v>0.19439</v>
      </c>
      <c r="AI89" s="4" t="n">
        <v>0.148714</v>
      </c>
      <c r="AJ89" s="4" t="n">
        <v>0.17955</v>
      </c>
      <c r="AK89" s="4" t="n">
        <v>0.20597</v>
      </c>
      <c r="AL89" s="4" t="n">
        <v>0.142</v>
      </c>
      <c r="AM89" s="4" t="n">
        <v>0.073892</v>
      </c>
      <c r="AN89" s="4" t="n">
        <v>0.131575</v>
      </c>
      <c r="AO89" s="4" t="n">
        <v>0.110523</v>
      </c>
      <c r="AP89" s="4" t="n">
        <v>0.10920725</v>
      </c>
      <c r="AQ89" s="4" t="n">
        <v>0.1078915</v>
      </c>
      <c r="AR89" s="4" t="n">
        <v>0.10657575</v>
      </c>
      <c r="AS89" s="4" t="n">
        <v>0.105917875</v>
      </c>
      <c r="AT89" s="4" t="n">
        <v>0.10526</v>
      </c>
      <c r="AU89" s="4" t="n">
        <v>0.30302</v>
      </c>
      <c r="AV89" s="4" t="n">
        <v>0.136043</v>
      </c>
      <c r="AW89" s="4" t="n">
        <v>0.330364</v>
      </c>
      <c r="AX89" s="4" t="n">
        <v>0.22348</v>
      </c>
      <c r="AY89" s="4" t="n">
        <v>0.124377</v>
      </c>
      <c r="AZ89" s="5" t="n">
        <v>1</v>
      </c>
      <c r="BA89" s="5" t="n">
        <v>0.084823</v>
      </c>
      <c r="BB89" s="5" t="n">
        <v>0.1009</v>
      </c>
      <c r="BC89" s="5" t="n">
        <v>0.064084</v>
      </c>
      <c r="BD89" s="5" t="n">
        <v>0.32761</v>
      </c>
      <c r="BE89" s="5" t="n">
        <v>1</v>
      </c>
      <c r="BF89" s="5" t="n">
        <v>0.0943216</v>
      </c>
      <c r="BG89" s="5" t="n">
        <f aca="false">BF89/(1-0.2)</f>
        <v>0.117902</v>
      </c>
      <c r="BH89" s="5" t="n">
        <f aca="false">BF89/(1-0.25)</f>
        <v>0.125762133333333</v>
      </c>
      <c r="BI89" s="5" t="n">
        <v>0.0839599</v>
      </c>
      <c r="BJ89" s="5" t="n">
        <v>0.124494</v>
      </c>
      <c r="BK89" s="5" t="n">
        <v>0.114253</v>
      </c>
      <c r="BL89" s="5" t="n">
        <v>0.14753933</v>
      </c>
      <c r="BM89" s="5" t="n">
        <v>0.1386869702</v>
      </c>
    </row>
    <row r="90" customFormat="false" ht="15.75" hidden="false" customHeight="true" outlineLevel="0" collapsed="false">
      <c r="A90" s="2" t="n">
        <v>88</v>
      </c>
      <c r="B90" s="2" t="n">
        <v>0.13428248</v>
      </c>
      <c r="C90" s="4" t="n">
        <v>0.1346408197</v>
      </c>
      <c r="D90" s="4" t="n">
        <v>0.13464082</v>
      </c>
      <c r="E90" s="4" t="n">
        <v>0.140119</v>
      </c>
      <c r="F90" s="4" t="n">
        <v>0.140119</v>
      </c>
      <c r="G90" s="4" t="n">
        <v>0.129610075</v>
      </c>
      <c r="H90" s="4" t="n">
        <v>1</v>
      </c>
      <c r="I90" s="4" t="n">
        <v>0.11204662</v>
      </c>
      <c r="J90" s="4" t="n">
        <v>0.1109261538</v>
      </c>
      <c r="K90" s="4" t="n">
        <v>0.112046618328619</v>
      </c>
      <c r="L90" s="5" t="n">
        <v>0.0965668610562507</v>
      </c>
      <c r="M90" s="5" t="n">
        <f aca="false">L90/(1-0.19)</f>
        <v>0.119218346983026</v>
      </c>
      <c r="N90" s="5" t="n">
        <f aca="false">L90/(1-0.183)</f>
        <v>0.118196892357712</v>
      </c>
      <c r="O90" s="5" t="n">
        <v>0.113106647745408</v>
      </c>
      <c r="P90" s="5" t="n">
        <v>0.097769827407493</v>
      </c>
      <c r="Q90" s="5" t="n">
        <v>0.114223051301017</v>
      </c>
      <c r="R90" s="5" t="n">
        <v>0.111367475018492</v>
      </c>
      <c r="S90" s="4" t="n">
        <v>0.095169</v>
      </c>
      <c r="T90" s="4" t="n">
        <v>0.105631</v>
      </c>
      <c r="U90" s="4" t="n">
        <f aca="false">T90/(1-0.33)</f>
        <v>0.157658208955224</v>
      </c>
      <c r="V90" s="4" t="n">
        <v>0.175124</v>
      </c>
      <c r="W90" s="4" t="n">
        <v>0.146397</v>
      </c>
      <c r="X90" s="4" t="n">
        <v>0.145274</v>
      </c>
      <c r="Y90" s="4" t="n">
        <v>0.1380103</v>
      </c>
      <c r="Z90" s="4" t="n">
        <v>0.160081</v>
      </c>
      <c r="AA90" s="4" t="n">
        <v>0.156078975</v>
      </c>
      <c r="AB90" s="4" t="n">
        <v>0.116316</v>
      </c>
      <c r="AC90" s="4" t="n">
        <v>0.1110108185</v>
      </c>
      <c r="AD90" s="4" t="n">
        <f aca="false">AC90/(1-0.1)</f>
        <v>0.123345353888889</v>
      </c>
      <c r="AE90" s="4" t="n">
        <f aca="false">AC90/(1-0.15)</f>
        <v>0.130600962941176</v>
      </c>
      <c r="AF90" s="4" t="n">
        <f aca="false">AC90/(1-0.2)</f>
        <v>0.138763523125</v>
      </c>
      <c r="AG90" s="4" t="n">
        <f aca="false">AC90/(1-0.24)</f>
        <v>0.146066866447368</v>
      </c>
      <c r="AH90" s="4" t="n">
        <v>0.20816</v>
      </c>
      <c r="AI90" s="4" t="n">
        <v>0.158486</v>
      </c>
      <c r="AJ90" s="4" t="n">
        <v>0.19327</v>
      </c>
      <c r="AK90" s="4" t="n">
        <v>0.223906</v>
      </c>
      <c r="AL90" s="4" t="n">
        <v>0.151656</v>
      </c>
      <c r="AM90" s="4" t="n">
        <v>0.077791</v>
      </c>
      <c r="AN90" s="4" t="n">
        <v>0.141352</v>
      </c>
      <c r="AO90" s="4" t="n">
        <v>0.11873568</v>
      </c>
      <c r="AP90" s="4" t="n">
        <v>0.11732216</v>
      </c>
      <c r="AQ90" s="4" t="n">
        <v>0.11590864</v>
      </c>
      <c r="AR90" s="4" t="n">
        <v>0.11449512</v>
      </c>
      <c r="AS90" s="4" t="n">
        <v>0.11378836</v>
      </c>
      <c r="AT90" s="4" t="n">
        <v>0.1130816</v>
      </c>
      <c r="AU90" s="4" t="n">
        <v>0.34669</v>
      </c>
      <c r="AV90" s="4" t="n">
        <v>0.15059</v>
      </c>
      <c r="AW90" s="4" t="n">
        <v>0.357972</v>
      </c>
      <c r="AX90" s="4" t="n">
        <v>0.24248</v>
      </c>
      <c r="AY90" s="4" t="n">
        <v>0.136537</v>
      </c>
      <c r="AZ90" s="5" t="n">
        <v>1</v>
      </c>
      <c r="BA90" s="5" t="n">
        <v>0.095987</v>
      </c>
      <c r="BB90" s="5" t="n">
        <v>0.111321</v>
      </c>
      <c r="BC90" s="5" t="n">
        <v>0.070942</v>
      </c>
      <c r="BD90" s="5" t="n">
        <v>0.35383</v>
      </c>
      <c r="BE90" s="5" t="n">
        <v>1</v>
      </c>
      <c r="BF90" s="5" t="n">
        <v>0.101914</v>
      </c>
      <c r="BG90" s="5" t="n">
        <f aca="false">BF90/(1-0.2)</f>
        <v>0.1273925</v>
      </c>
      <c r="BH90" s="5" t="n">
        <f aca="false">BF90/(1-0.25)</f>
        <v>0.135885333333333</v>
      </c>
      <c r="BI90" s="5" t="n">
        <v>0.093439</v>
      </c>
      <c r="BJ90" s="5" t="n">
        <v>0.138398</v>
      </c>
      <c r="BK90" s="5" t="n">
        <v>0.125757</v>
      </c>
      <c r="BL90" s="5" t="n">
        <v>0.16091894</v>
      </c>
      <c r="BM90" s="5" t="n">
        <v>0.1512638036</v>
      </c>
    </row>
    <row r="91" customFormat="false" ht="15.75" hidden="false" customHeight="true" outlineLevel="0" collapsed="false">
      <c r="A91" s="2" t="n">
        <v>89</v>
      </c>
      <c r="B91" s="2" t="n">
        <v>0.14148596</v>
      </c>
      <c r="C91" s="4" t="n">
        <v>0.1417532413</v>
      </c>
      <c r="D91" s="4" t="n">
        <v>0.14175324</v>
      </c>
      <c r="E91" s="4" t="n">
        <v>0.148247</v>
      </c>
      <c r="F91" s="4" t="n">
        <v>0.14824709</v>
      </c>
      <c r="G91" s="4" t="n">
        <v>0.13712855825</v>
      </c>
      <c r="H91" s="4" t="n">
        <v>1</v>
      </c>
      <c r="I91" s="4" t="n">
        <v>0.12062982</v>
      </c>
      <c r="J91" s="4" t="n">
        <v>0.1194235218</v>
      </c>
      <c r="K91" s="4" t="n">
        <v>0.120629824540793</v>
      </c>
      <c r="L91" s="5" t="n">
        <v>0.10388327765104</v>
      </c>
      <c r="M91" s="5" t="n">
        <f aca="false">L91/(1-0.19)</f>
        <v>0.128250960063012</v>
      </c>
      <c r="N91" s="5" t="n">
        <f aca="false">L91/(1-0.183)</f>
        <v>0.127152114627955</v>
      </c>
      <c r="O91" s="5" t="n">
        <v>0.121775362735147</v>
      </c>
      <c r="P91" s="5" t="n">
        <v>0.105197935665796</v>
      </c>
      <c r="Q91" s="5" t="n">
        <v>0.122984359488625</v>
      </c>
      <c r="R91" s="5" t="n">
        <v>0.119909750501409</v>
      </c>
      <c r="S91" s="4" t="n">
        <v>0.103455</v>
      </c>
      <c r="T91" s="4" t="n">
        <v>0.114858</v>
      </c>
      <c r="U91" s="4" t="n">
        <f aca="false">T91/(1-0.33)</f>
        <v>0.171429850746269</v>
      </c>
      <c r="V91" s="4" t="n">
        <v>0.191151</v>
      </c>
      <c r="W91" s="4" t="n">
        <v>0.157153</v>
      </c>
      <c r="X91" s="4" t="n">
        <v>0.156841</v>
      </c>
      <c r="Y91" s="4" t="n">
        <v>0.14899895</v>
      </c>
      <c r="Z91" s="4" t="n">
        <v>0.172066</v>
      </c>
      <c r="AA91" s="4" t="n">
        <v>0.16776435</v>
      </c>
      <c r="AB91" s="4" t="n">
        <v>0.125394</v>
      </c>
      <c r="AC91" s="4" t="n">
        <v>0.1213272006</v>
      </c>
      <c r="AD91" s="4" t="n">
        <f aca="false">AC91/(1-0.1)</f>
        <v>0.134808000666667</v>
      </c>
      <c r="AE91" s="4" t="n">
        <f aca="false">AC91/(1-0.15)</f>
        <v>0.142737883058824</v>
      </c>
      <c r="AF91" s="4" t="n">
        <f aca="false">AC91/(1-0.2)</f>
        <v>0.15165900075</v>
      </c>
      <c r="AG91" s="4" t="n">
        <f aca="false">AC91/(1-0.24)</f>
        <v>0.159641053421053</v>
      </c>
      <c r="AH91" s="4" t="n">
        <v>0.22308</v>
      </c>
      <c r="AI91" s="4" t="n">
        <v>0.168709</v>
      </c>
      <c r="AJ91" s="4" t="n">
        <v>0.20729</v>
      </c>
      <c r="AK91" s="4" t="n">
        <v>0.243139</v>
      </c>
      <c r="AL91" s="4" t="n">
        <v>0.161661</v>
      </c>
      <c r="AM91" s="4" t="n">
        <v>0.08206</v>
      </c>
      <c r="AN91" s="4" t="n">
        <v>0.151775</v>
      </c>
      <c r="AO91" s="4" t="n">
        <v>0.127491</v>
      </c>
      <c r="AP91" s="4" t="n">
        <v>0.12597325</v>
      </c>
      <c r="AQ91" s="4" t="n">
        <v>0.1244555</v>
      </c>
      <c r="AR91" s="4" t="n">
        <v>0.12293775</v>
      </c>
      <c r="AS91" s="4" t="n">
        <v>0.122178875</v>
      </c>
      <c r="AT91" s="4" t="n">
        <v>0.12142</v>
      </c>
      <c r="AU91" s="4" t="n">
        <v>0.39586</v>
      </c>
      <c r="AV91" s="4" t="n">
        <v>0.16642</v>
      </c>
      <c r="AW91" s="4" t="n">
        <v>0.387359</v>
      </c>
      <c r="AX91" s="4" t="n">
        <v>0.26283</v>
      </c>
      <c r="AY91" s="4" t="n">
        <v>0.149949</v>
      </c>
      <c r="AZ91" s="5" t="n">
        <v>1</v>
      </c>
      <c r="BA91" s="5" t="n">
        <v>0.108482</v>
      </c>
      <c r="BB91" s="5" t="n">
        <v>0.122608</v>
      </c>
      <c r="BC91" s="5" t="n">
        <v>0.078241</v>
      </c>
      <c r="BD91" s="5" t="n">
        <v>0.38241</v>
      </c>
      <c r="BE91" s="5" t="n">
        <v>1</v>
      </c>
      <c r="BF91" s="5" t="n">
        <v>0.113095</v>
      </c>
      <c r="BG91" s="5" t="n">
        <f aca="false">BF91/(1-0.2)</f>
        <v>0.14136875</v>
      </c>
      <c r="BH91" s="5" t="n">
        <f aca="false">BF91/(1-0.25)</f>
        <v>0.150793333333333</v>
      </c>
      <c r="BI91" s="5" t="n">
        <v>0.10497</v>
      </c>
      <c r="BJ91" s="5" t="n">
        <v>0.153207</v>
      </c>
      <c r="BK91" s="5" t="n">
        <v>0.138327</v>
      </c>
      <c r="BL91" s="5" t="n">
        <v>0.17537888</v>
      </c>
      <c r="BM91" s="5" t="n">
        <v>0.1648561472</v>
      </c>
    </row>
    <row r="92" customFormat="false" ht="15.75" hidden="false" customHeight="true" outlineLevel="0" collapsed="false">
      <c r="A92" s="6" t="n">
        <v>90</v>
      </c>
      <c r="B92" s="6" t="n">
        <v>0.14921738</v>
      </c>
      <c r="C92" s="7" t="n">
        <v>1</v>
      </c>
      <c r="D92" s="7" t="n">
        <v>0.14975298</v>
      </c>
      <c r="E92" s="7" t="n">
        <v>1</v>
      </c>
      <c r="F92" s="7" t="n">
        <v>0.14916785</v>
      </c>
      <c r="G92" s="4" t="n">
        <v>0.13798026125</v>
      </c>
      <c r="H92" s="7" t="n">
        <v>1</v>
      </c>
      <c r="I92" s="7" t="n">
        <v>0.13019101</v>
      </c>
      <c r="J92" s="4" t="n">
        <v>0.1288890999</v>
      </c>
      <c r="K92" s="7" t="n">
        <v>0.130191005616537</v>
      </c>
      <c r="L92" s="8" t="n">
        <v>0.111909204486322</v>
      </c>
      <c r="M92" s="5" t="n">
        <f aca="false">L92/(1-0.19)</f>
        <v>0.138159511711509</v>
      </c>
      <c r="N92" s="5" t="n">
        <f aca="false">L92/(1-0.183)</f>
        <v>0.136975770485094</v>
      </c>
      <c r="O92" s="8" t="n">
        <v>0.131442024455243</v>
      </c>
      <c r="P92" s="8" t="n">
        <v>0.11335592655427</v>
      </c>
      <c r="Q92" s="8" t="n">
        <v>0.13276515020757</v>
      </c>
      <c r="R92" s="5" t="n">
        <v>0.129446021452381</v>
      </c>
      <c r="S92" s="7" t="n">
        <v>0.112208</v>
      </c>
      <c r="T92" s="7" t="n">
        <v>0.124612</v>
      </c>
      <c r="U92" s="4" t="n">
        <f aca="false">T92/(1-0.33)</f>
        <v>0.185988059701493</v>
      </c>
      <c r="V92" s="7" t="n">
        <v>0.208485</v>
      </c>
      <c r="W92" s="7" t="n">
        <v>0.168604</v>
      </c>
      <c r="X92" s="7" t="n">
        <v>0.169202</v>
      </c>
      <c r="Y92" s="4" t="n">
        <v>0.1607419</v>
      </c>
      <c r="Z92" s="7" t="n">
        <v>0.184785</v>
      </c>
      <c r="AA92" s="4" t="n">
        <v>0.180165375</v>
      </c>
      <c r="AB92" s="7" t="n">
        <v>0.134887</v>
      </c>
      <c r="AC92" s="7" t="n">
        <v>0.1325679496</v>
      </c>
      <c r="AD92" s="4" t="n">
        <f aca="false">AC92/(1-0.1)</f>
        <v>0.147297721777778</v>
      </c>
      <c r="AE92" s="4" t="n">
        <f aca="false">AC92/(1-0.15)</f>
        <v>0.155962293647059</v>
      </c>
      <c r="AF92" s="4" t="n">
        <f aca="false">AC92/(1-0.2)</f>
        <v>0.165709937</v>
      </c>
      <c r="AG92" s="4" t="n">
        <f aca="false">AC92/(1-0.24)</f>
        <v>0.174431512631579</v>
      </c>
      <c r="AH92" s="7" t="n">
        <v>0.23955</v>
      </c>
      <c r="AI92" s="7" t="n">
        <v>0.179452</v>
      </c>
      <c r="AJ92" s="7" t="n">
        <v>0.22177</v>
      </c>
      <c r="AK92" s="7" t="n">
        <v>0.263714</v>
      </c>
      <c r="AL92" s="7" t="n">
        <v>0.172016</v>
      </c>
      <c r="AM92" s="7" t="n">
        <v>0.08688</v>
      </c>
      <c r="AN92" s="7" t="n">
        <v>0.162879</v>
      </c>
      <c r="AO92" s="4" t="n">
        <v>0.13681836</v>
      </c>
      <c r="AP92" s="4" t="n">
        <v>0.13518957</v>
      </c>
      <c r="AQ92" s="4" t="n">
        <v>0.13356078</v>
      </c>
      <c r="AR92" s="4" t="n">
        <v>0.13193199</v>
      </c>
      <c r="AS92" s="4" t="n">
        <v>0.131117595</v>
      </c>
      <c r="AT92" s="4" t="n">
        <v>0.1303032</v>
      </c>
      <c r="AU92" s="7" t="n">
        <v>0.45455</v>
      </c>
      <c r="AV92" s="7" t="n">
        <v>0.183408</v>
      </c>
      <c r="AW92" s="7" t="n">
        <v>0.418551</v>
      </c>
      <c r="AX92" s="7" t="n">
        <v>0.2846</v>
      </c>
      <c r="AY92" s="7" t="n">
        <v>0.164442</v>
      </c>
      <c r="AZ92" s="8" t="n">
        <v>1</v>
      </c>
      <c r="BA92" s="8" t="n">
        <v>0.122214</v>
      </c>
      <c r="BB92" s="8" t="n">
        <v>0.13487</v>
      </c>
      <c r="BC92" s="8" t="n">
        <v>0.086003</v>
      </c>
      <c r="BD92" s="8" t="n">
        <v>0.40988</v>
      </c>
      <c r="BE92" s="8" t="n">
        <v>1</v>
      </c>
      <c r="BF92" s="8" t="n">
        <v>0.1207108</v>
      </c>
      <c r="BG92" s="5" t="n">
        <f aca="false">BF92/(1-0.2)</f>
        <v>0.1508885</v>
      </c>
      <c r="BH92" s="5" t="n">
        <f aca="false">BF92/(1-0.25)</f>
        <v>0.160947733333333</v>
      </c>
      <c r="BI92" s="8" t="n">
        <v>0.1143591</v>
      </c>
      <c r="BJ92" s="8" t="n">
        <v>0.169704</v>
      </c>
      <c r="BK92" s="8" t="n">
        <v>0.152042</v>
      </c>
      <c r="BL92" s="8" t="n">
        <v>0.19098077</v>
      </c>
      <c r="BM92" s="5" t="n">
        <v>0.1795219238</v>
      </c>
    </row>
    <row r="93" customFormat="false" ht="15.75" hidden="false" customHeight="true" outlineLevel="0" collapsed="false">
      <c r="A93" s="2" t="n">
        <v>91</v>
      </c>
      <c r="B93" s="2" t="n">
        <v>0.15812864</v>
      </c>
      <c r="C93" s="4" t="n">
        <v>1</v>
      </c>
      <c r="D93" s="4" t="n">
        <v>0.15897292</v>
      </c>
      <c r="E93" s="4" t="n">
        <v>1</v>
      </c>
      <c r="F93" s="4" t="n">
        <v>0.15715547</v>
      </c>
      <c r="G93" s="4" t="n">
        <v>0.14536880975</v>
      </c>
      <c r="H93" s="4" t="n">
        <v>1</v>
      </c>
      <c r="I93" s="4" t="n">
        <v>0.14092953</v>
      </c>
      <c r="J93" s="4" t="n">
        <v>0.1395202347</v>
      </c>
      <c r="K93" s="4" t="n">
        <v>0.14092953244163</v>
      </c>
      <c r="L93" s="5" t="n">
        <v>0.120776123041587</v>
      </c>
      <c r="M93" s="5" t="n">
        <f aca="false">L93/(1-0.19)</f>
        <v>0.1491063247427</v>
      </c>
      <c r="N93" s="5" t="n">
        <f aca="false">L93/(1-0.183)</f>
        <v>0.147828791972567</v>
      </c>
      <c r="O93" s="5" t="n">
        <v>0.142311329204344</v>
      </c>
      <c r="P93" s="5" t="n">
        <v>0.122380222407266</v>
      </c>
      <c r="Q93" s="5" t="n">
        <v>0.143775911513346</v>
      </c>
      <c r="R93" s="5" t="n">
        <v>0.140181513725512</v>
      </c>
      <c r="S93" s="4" t="n">
        <v>0.121402</v>
      </c>
      <c r="T93" s="4" t="n">
        <v>0.134861</v>
      </c>
      <c r="U93" s="4" t="n">
        <f aca="false">T93/(1-0.33)</f>
        <v>0.201285074626866</v>
      </c>
      <c r="V93" s="4" t="n">
        <v>0.227192</v>
      </c>
      <c r="W93" s="4" t="n">
        <v>0.180783</v>
      </c>
      <c r="X93" s="4" t="n">
        <v>0.182389</v>
      </c>
      <c r="Y93" s="4" t="n">
        <v>0.17326955</v>
      </c>
      <c r="Z93" s="4" t="n">
        <v>0.198016</v>
      </c>
      <c r="AA93" s="4" t="n">
        <v>0.1930656</v>
      </c>
      <c r="AB93" s="4" t="n">
        <v>0.144873</v>
      </c>
      <c r="AC93" s="4" t="n">
        <v>0.1448080296</v>
      </c>
      <c r="AD93" s="4" t="n">
        <f aca="false">AC93/(1-0.1)</f>
        <v>0.160897810666667</v>
      </c>
      <c r="AE93" s="4" t="n">
        <f aca="false">AC93/(1-0.15)</f>
        <v>0.170362387764706</v>
      </c>
      <c r="AF93" s="4" t="n">
        <f aca="false">AC93/(1-0.2)</f>
        <v>0.181010037</v>
      </c>
      <c r="AG93" s="4" t="n">
        <f aca="false">AC93/(1-0.24)</f>
        <v>0.190536881052632</v>
      </c>
      <c r="AH93" s="4" t="n">
        <v>0.25806</v>
      </c>
      <c r="AI93" s="4" t="n">
        <v>0.190489</v>
      </c>
      <c r="AJ93" s="4" t="n">
        <v>0.23698</v>
      </c>
      <c r="AK93" s="4" t="n">
        <v>0.285674</v>
      </c>
      <c r="AL93" s="4" t="n">
        <v>0.182721</v>
      </c>
      <c r="AM93" s="4" t="n">
        <v>0.092417</v>
      </c>
      <c r="AN93" s="4" t="n">
        <v>0.174694</v>
      </c>
      <c r="AO93" s="4" t="n">
        <v>0.14674296</v>
      </c>
      <c r="AP93" s="4" t="n">
        <v>0.14499602</v>
      </c>
      <c r="AQ93" s="4" t="n">
        <v>0.14324908</v>
      </c>
      <c r="AR93" s="4" t="n">
        <v>0.14150214</v>
      </c>
      <c r="AS93" s="4" t="n">
        <v>0.14062867</v>
      </c>
      <c r="AT93" s="4" t="n">
        <v>0.1397552</v>
      </c>
      <c r="AU93" s="4" t="n">
        <v>0.53247</v>
      </c>
      <c r="AV93" s="4" t="n">
        <v>0.199769</v>
      </c>
      <c r="AW93" s="4" t="n">
        <v>0.451557</v>
      </c>
      <c r="AX93" s="4" t="n">
        <v>0.3078</v>
      </c>
      <c r="AY93" s="4" t="n">
        <v>0.179849</v>
      </c>
      <c r="AZ93" s="5" t="n">
        <v>1</v>
      </c>
      <c r="BA93" s="5" t="n">
        <v>0.136799</v>
      </c>
      <c r="BB93" s="5" t="n">
        <v>0.148212</v>
      </c>
      <c r="BC93" s="5" t="n">
        <v>0.094249</v>
      </c>
      <c r="BD93" s="5" t="n">
        <v>0.44335</v>
      </c>
      <c r="BE93" s="5" t="n">
        <v>1</v>
      </c>
      <c r="BF93" s="5" t="n">
        <v>0.1284853</v>
      </c>
      <c r="BG93" s="5" t="n">
        <f aca="false">BF93/(1-0.2)</f>
        <v>0.160606625</v>
      </c>
      <c r="BH93" s="5" t="n">
        <f aca="false">BF93/(1-0.25)</f>
        <v>0.171313733333333</v>
      </c>
      <c r="BI93" s="5" t="n">
        <v>0.1247292</v>
      </c>
      <c r="BJ93" s="5" t="n">
        <v>0.187963</v>
      </c>
      <c r="BK93" s="5" t="n">
        <v>0.166983</v>
      </c>
      <c r="BL93" s="5" t="n">
        <v>0.20778447</v>
      </c>
      <c r="BM93" s="5" t="n">
        <v>0.1953174018</v>
      </c>
    </row>
    <row r="94" customFormat="false" ht="15.75" hidden="false" customHeight="true" outlineLevel="0" collapsed="false">
      <c r="A94" s="2" t="n">
        <v>92</v>
      </c>
      <c r="B94" s="2" t="n">
        <v>0.16847412</v>
      </c>
      <c r="C94" s="4" t="n">
        <v>1</v>
      </c>
      <c r="D94" s="4" t="n">
        <v>0.16967873</v>
      </c>
      <c r="E94" s="4" t="n">
        <v>1</v>
      </c>
      <c r="F94" s="4" t="n">
        <v>0.16644006</v>
      </c>
      <c r="G94" s="4" t="n">
        <v>0.1539570555</v>
      </c>
      <c r="H94" s="4" t="n">
        <v>1</v>
      </c>
      <c r="I94" s="4" t="n">
        <v>0.15310047</v>
      </c>
      <c r="J94" s="4" t="n">
        <v>0.1515694653</v>
      </c>
      <c r="K94" s="4" t="n">
        <v>0.153100466689452</v>
      </c>
      <c r="L94" s="5" t="n">
        <v>0.130648265230921</v>
      </c>
      <c r="M94" s="5" t="n">
        <f aca="false">L94/(1-0.19)</f>
        <v>0.161294154606075</v>
      </c>
      <c r="N94" s="5" t="n">
        <f aca="false">L94/(1-0.183)</f>
        <v>0.159912197345068</v>
      </c>
      <c r="O94" s="5" t="n">
        <v>0.154645561310997</v>
      </c>
      <c r="P94" s="5" t="n">
        <v>0.132441574323476</v>
      </c>
      <c r="Q94" s="5" t="n">
        <v>0.156286796455516</v>
      </c>
      <c r="R94" s="5" t="n">
        <v>0.152379626544128</v>
      </c>
      <c r="S94" s="4" t="n">
        <v>0.131017</v>
      </c>
      <c r="T94" s="4" t="n">
        <v>0.145575</v>
      </c>
      <c r="U94" s="4" t="n">
        <f aca="false">T94/(1-0.33)</f>
        <v>0.217276119402985</v>
      </c>
      <c r="V94" s="4" t="n">
        <v>0.247332</v>
      </c>
      <c r="W94" s="4" t="n">
        <v>0.193724</v>
      </c>
      <c r="X94" s="4" t="n">
        <v>0.196431</v>
      </c>
      <c r="Y94" s="4" t="n">
        <v>0.18660945</v>
      </c>
      <c r="Z94" s="4" t="n">
        <v>0.211622</v>
      </c>
      <c r="AA94" s="4" t="n">
        <v>0.20633145</v>
      </c>
      <c r="AB94" s="4" t="n">
        <v>0.155429</v>
      </c>
      <c r="AC94" s="4" t="n">
        <v>0.1581182712</v>
      </c>
      <c r="AD94" s="4" t="n">
        <f aca="false">AC94/(1-0.1)</f>
        <v>0.175686968</v>
      </c>
      <c r="AE94" s="4" t="n">
        <f aca="false">AC94/(1-0.15)</f>
        <v>0.186021495529412</v>
      </c>
      <c r="AF94" s="4" t="n">
        <f aca="false">AC94/(1-0.2)</f>
        <v>0.197647839</v>
      </c>
      <c r="AG94" s="4" t="n">
        <f aca="false">AC94/(1-0.24)</f>
        <v>0.208050356842105</v>
      </c>
      <c r="AH94" s="4" t="n">
        <v>0.27923</v>
      </c>
      <c r="AI94" s="4" t="n">
        <v>0.201681</v>
      </c>
      <c r="AJ94" s="4" t="n">
        <v>0.25345</v>
      </c>
      <c r="AK94" s="4" t="n">
        <v>0.309049</v>
      </c>
      <c r="AL94" s="4" t="n">
        <v>0.193775</v>
      </c>
      <c r="AM94" s="4" t="n">
        <v>0.098826</v>
      </c>
      <c r="AN94" s="4" t="n">
        <v>0.187254</v>
      </c>
      <c r="AO94" s="4" t="n">
        <v>0.15729336</v>
      </c>
      <c r="AP94" s="4" t="n">
        <v>0.15542082</v>
      </c>
      <c r="AQ94" s="4" t="n">
        <v>0.15354828</v>
      </c>
      <c r="AR94" s="4" t="n">
        <v>0.15167574</v>
      </c>
      <c r="AS94" s="4" t="n">
        <v>0.15073947</v>
      </c>
      <c r="AT94" s="4" t="n">
        <v>0.1498032</v>
      </c>
      <c r="AU94" s="4" t="n">
        <v>0.63426</v>
      </c>
      <c r="AV94" s="4" t="n">
        <v>0.216605</v>
      </c>
      <c r="AW94" s="4" t="n">
        <v>0.486372</v>
      </c>
      <c r="AX94" s="4" t="n">
        <v>0.33246</v>
      </c>
      <c r="AY94" s="4" t="n">
        <v>0.196001</v>
      </c>
      <c r="AZ94" s="5" t="n">
        <v>1</v>
      </c>
      <c r="BA94" s="5" t="n">
        <v>0.152409</v>
      </c>
      <c r="BB94" s="5" t="n">
        <v>0.162742</v>
      </c>
      <c r="BC94" s="5" t="n">
        <v>0.103002</v>
      </c>
      <c r="BD94" s="5" t="n">
        <v>0.47788</v>
      </c>
      <c r="BE94" s="5" t="n">
        <v>1</v>
      </c>
      <c r="BF94" s="5" t="n">
        <v>0.1389316</v>
      </c>
      <c r="BG94" s="5" t="n">
        <f aca="false">BF94/(1-0.2)</f>
        <v>0.1736645</v>
      </c>
      <c r="BH94" s="5" t="n">
        <f aca="false">BF94/(1-0.25)</f>
        <v>0.185242133333333</v>
      </c>
      <c r="BI94" s="5" t="n">
        <v>0.1325577</v>
      </c>
      <c r="BJ94" s="5" t="n">
        <v>0.208395</v>
      </c>
      <c r="BK94" s="5" t="n">
        <v>0.183227</v>
      </c>
      <c r="BL94" s="5" t="n">
        <v>0.22584677</v>
      </c>
      <c r="BM94" s="5" t="n">
        <v>0.2122959638</v>
      </c>
    </row>
    <row r="95" customFormat="false" ht="15.75" hidden="false" customHeight="true" outlineLevel="0" collapsed="false">
      <c r="A95" s="2" t="n">
        <v>93</v>
      </c>
      <c r="B95" s="2" t="n">
        <v>0.18058383</v>
      </c>
      <c r="C95" s="4" t="n">
        <v>1</v>
      </c>
      <c r="D95" s="4" t="n">
        <v>0.18221597</v>
      </c>
      <c r="E95" s="4" t="n">
        <v>1</v>
      </c>
      <c r="F95" s="4" t="n">
        <v>0.17731217</v>
      </c>
      <c r="G95" s="4" t="n">
        <v>0.16401375725</v>
      </c>
      <c r="H95" s="4" t="n">
        <v>1</v>
      </c>
      <c r="I95" s="4" t="n">
        <v>0.16703492</v>
      </c>
      <c r="J95" s="4" t="n">
        <v>0.1653645708</v>
      </c>
      <c r="K95" s="4" t="n">
        <v>0.167034922951306</v>
      </c>
      <c r="L95" s="5" t="n">
        <v>0.141733340472762</v>
      </c>
      <c r="M95" s="5" t="n">
        <f aca="false">L95/(1-0.19)</f>
        <v>0.174979432682422</v>
      </c>
      <c r="N95" s="5" t="n">
        <f aca="false">L95/(1-0.183)</f>
        <v>0.173480220896894</v>
      </c>
      <c r="O95" s="5" t="n">
        <v>0.168785794214416</v>
      </c>
      <c r="P95" s="5" t="n">
        <v>0.143756417406707</v>
      </c>
      <c r="Q95" s="5" t="n">
        <v>0.170649748919363</v>
      </c>
      <c r="R95" s="5" t="n">
        <v>0.166383505196378</v>
      </c>
      <c r="S95" s="4" t="n">
        <v>0.14103</v>
      </c>
      <c r="T95" s="4" t="n">
        <v>0.156727</v>
      </c>
      <c r="U95" s="4" t="n">
        <f aca="false">T95/(1-0.33)</f>
        <v>0.233920895522388</v>
      </c>
      <c r="V95" s="4" t="n">
        <v>0.26896</v>
      </c>
      <c r="W95" s="4" t="n">
        <v>0.207446</v>
      </c>
      <c r="X95" s="4" t="n">
        <v>0.211355</v>
      </c>
      <c r="Y95" s="4" t="n">
        <v>0.20078725</v>
      </c>
      <c r="Z95" s="4" t="n">
        <v>0.225563</v>
      </c>
      <c r="AA95" s="4" t="n">
        <v>0.219923925</v>
      </c>
      <c r="AB95" s="4" t="n">
        <v>0.166629</v>
      </c>
      <c r="AC95" s="4" t="n">
        <v>0.1725814942</v>
      </c>
      <c r="AD95" s="4" t="n">
        <f aca="false">AC95/(1-0.1)</f>
        <v>0.191757215777778</v>
      </c>
      <c r="AE95" s="4" t="n">
        <f aca="false">AC95/(1-0.15)</f>
        <v>0.203037052</v>
      </c>
      <c r="AF95" s="4" t="n">
        <f aca="false">AC95/(1-0.2)</f>
        <v>0.21572686775</v>
      </c>
      <c r="AG95" s="4" t="n">
        <f aca="false">AC95/(1-0.24)</f>
        <v>0.227080913421053</v>
      </c>
      <c r="AH95" s="4" t="n">
        <v>0.30376</v>
      </c>
      <c r="AI95" s="4" t="n">
        <v>0.212986</v>
      </c>
      <c r="AJ95" s="4" t="n">
        <v>0.27211</v>
      </c>
      <c r="AK95" s="4" t="n">
        <v>0.333863</v>
      </c>
      <c r="AL95" s="4" t="n">
        <v>0.20518</v>
      </c>
      <c r="AM95" s="4" t="n">
        <v>0.106254</v>
      </c>
      <c r="AN95" s="4" t="n">
        <v>0.200585</v>
      </c>
      <c r="AO95" s="4" t="n">
        <v>0.1684914</v>
      </c>
      <c r="AP95" s="4" t="n">
        <v>0.16648555</v>
      </c>
      <c r="AQ95" s="4" t="n">
        <v>0.1644797</v>
      </c>
      <c r="AR95" s="4" t="n">
        <v>0.16247385</v>
      </c>
      <c r="AS95" s="4" t="n">
        <v>0.161470925</v>
      </c>
      <c r="AT95" s="4" t="n">
        <v>0.160468</v>
      </c>
      <c r="AU95" s="4" t="n">
        <v>0.73418</v>
      </c>
      <c r="AV95" s="4" t="n">
        <v>0.233662</v>
      </c>
      <c r="AW95" s="4" t="n">
        <v>0.52297</v>
      </c>
      <c r="AX95" s="4" t="n">
        <v>0.35857</v>
      </c>
      <c r="AY95" s="4" t="n">
        <v>0.213325</v>
      </c>
      <c r="AZ95" s="5" t="n">
        <v>1</v>
      </c>
      <c r="BA95" s="5" t="n">
        <v>0.169078</v>
      </c>
      <c r="BB95" s="5" t="n">
        <v>0.178566</v>
      </c>
      <c r="BC95" s="5" t="n">
        <v>0.112281</v>
      </c>
      <c r="BD95" s="5" t="n">
        <v>0.50847</v>
      </c>
      <c r="BE95" s="5" t="n">
        <v>1</v>
      </c>
      <c r="BF95" s="5" t="n">
        <v>0.1502272</v>
      </c>
      <c r="BG95" s="5" t="n">
        <f aca="false">BF95/(1-0.2)</f>
        <v>0.187784</v>
      </c>
      <c r="BH95" s="5" t="n">
        <f aca="false">BF95/(1-0.25)</f>
        <v>0.200302933333333</v>
      </c>
      <c r="BI95" s="5" t="n">
        <v>0.1466181</v>
      </c>
      <c r="BJ95" s="5" t="n">
        <v>0.230808</v>
      </c>
      <c r="BK95" s="5" t="n">
        <v>0.200855</v>
      </c>
      <c r="BL95" s="5" t="n">
        <v>0.24521972</v>
      </c>
      <c r="BM95" s="5" t="n">
        <v>0.2305065368</v>
      </c>
    </row>
    <row r="96" customFormat="false" ht="15.75" hidden="false" customHeight="true" outlineLevel="0" collapsed="false">
      <c r="A96" s="2" t="n">
        <v>94</v>
      </c>
      <c r="B96" s="2" t="n">
        <v>0.19489276</v>
      </c>
      <c r="C96" s="4" t="n">
        <v>1</v>
      </c>
      <c r="D96" s="4" t="n">
        <v>0.1970415</v>
      </c>
      <c r="E96" s="4" t="n">
        <v>1</v>
      </c>
      <c r="F96" s="4" t="n">
        <v>0.1901516</v>
      </c>
      <c r="G96" s="4" t="n">
        <v>0.17589023</v>
      </c>
      <c r="H96" s="4" t="n">
        <v>1</v>
      </c>
      <c r="I96" s="4" t="n">
        <v>0.18316971</v>
      </c>
      <c r="J96" s="4" t="n">
        <v>0.1813380129</v>
      </c>
      <c r="K96" s="4" t="n">
        <v>0.183169707662903</v>
      </c>
      <c r="L96" s="5" t="n">
        <v>0.154297643973657</v>
      </c>
      <c r="M96" s="5" t="n">
        <f aca="false">L96/(1-0.19)</f>
        <v>0.190490918485996</v>
      </c>
      <c r="N96" s="5" t="n">
        <f aca="false">L96/(1-0.183)</f>
        <v>0.188858805353313</v>
      </c>
      <c r="O96" s="5" t="n">
        <v>0.185182815048695</v>
      </c>
      <c r="P96" s="5" t="n">
        <v>0.156602910037692</v>
      </c>
      <c r="Q96" s="5" t="n">
        <v>0.187330848371233</v>
      </c>
      <c r="R96" s="5" t="n">
        <v>0.182647577161953</v>
      </c>
      <c r="S96" s="4" t="n">
        <v>0.151422</v>
      </c>
      <c r="T96" s="4" t="n">
        <v>0.16829</v>
      </c>
      <c r="U96" s="4" t="n">
        <f aca="false">T96/(1-0.33)</f>
        <v>0.251179104477612</v>
      </c>
      <c r="V96" s="4" t="n">
        <v>0.292118</v>
      </c>
      <c r="W96" s="4" t="n">
        <v>0.221962</v>
      </c>
      <c r="X96" s="4" t="n">
        <v>0.227186</v>
      </c>
      <c r="Y96" s="4" t="n">
        <v>0.2158267</v>
      </c>
      <c r="Z96" s="4" t="n">
        <v>0.242116</v>
      </c>
      <c r="AA96" s="4" t="n">
        <v>0.2360631</v>
      </c>
      <c r="AB96" s="4" t="n">
        <v>0.178537</v>
      </c>
      <c r="AC96" s="4" t="n">
        <v>0.1882813864</v>
      </c>
      <c r="AD96" s="4" t="n">
        <f aca="false">AC96/(1-0.1)</f>
        <v>0.209201540444444</v>
      </c>
      <c r="AE96" s="4" t="n">
        <f aca="false">AC96/(1-0.15)</f>
        <v>0.221507513411765</v>
      </c>
      <c r="AF96" s="4" t="n">
        <f aca="false">AC96/(1-0.2)</f>
        <v>0.235351733</v>
      </c>
      <c r="AG96" s="4" t="n">
        <f aca="false">AC96/(1-0.24)</f>
        <v>0.247738666315789</v>
      </c>
      <c r="AH96" s="4" t="n">
        <v>0.33249</v>
      </c>
      <c r="AI96" s="4" t="n">
        <v>0.226535</v>
      </c>
      <c r="AJ96" s="4" t="n">
        <v>0.2959</v>
      </c>
      <c r="AK96" s="4" t="n">
        <v>0.360127</v>
      </c>
      <c r="AL96" s="4" t="n">
        <v>0.216934</v>
      </c>
      <c r="AM96" s="4" t="n">
        <v>0.114501</v>
      </c>
      <c r="AN96" s="4" t="n">
        <v>0.214704</v>
      </c>
      <c r="AO96" s="4" t="n">
        <v>0.18035136</v>
      </c>
      <c r="AP96" s="4" t="n">
        <v>0.17820432</v>
      </c>
      <c r="AQ96" s="4" t="n">
        <v>0.17605728</v>
      </c>
      <c r="AR96" s="4" t="n">
        <v>0.17391024</v>
      </c>
      <c r="AS96" s="4" t="n">
        <v>0.17283672</v>
      </c>
      <c r="AT96" s="4" t="n">
        <v>0.1717632</v>
      </c>
      <c r="AU96" s="4" t="n">
        <v>0.85714</v>
      </c>
      <c r="AV96" s="4" t="n">
        <v>0.250693</v>
      </c>
      <c r="AW96" s="4" t="n">
        <v>0.561307</v>
      </c>
      <c r="AX96" s="4" t="n">
        <v>0.38612</v>
      </c>
      <c r="AY96" s="4" t="n">
        <v>0.231936</v>
      </c>
      <c r="AZ96" s="5" t="n">
        <v>1</v>
      </c>
      <c r="BA96" s="5" t="n">
        <v>0.186882</v>
      </c>
      <c r="BB96" s="5" t="n">
        <v>0.195793</v>
      </c>
      <c r="BC96" s="5" t="n">
        <v>0.122109</v>
      </c>
      <c r="BD96" s="5" t="n">
        <v>0.55172</v>
      </c>
      <c r="BE96" s="5" t="n">
        <v>1</v>
      </c>
      <c r="BF96" s="5" t="n">
        <v>0.1624412</v>
      </c>
      <c r="BG96" s="5" t="n">
        <f aca="false">BF96/(1-0.2)</f>
        <v>0.2030515</v>
      </c>
      <c r="BH96" s="5" t="n">
        <f aca="false">BF96/(1-0.25)</f>
        <v>0.216588266666667</v>
      </c>
      <c r="BI96" s="5" t="n">
        <v>0.158572</v>
      </c>
      <c r="BJ96" s="5" t="n">
        <v>0.253914</v>
      </c>
      <c r="BK96" s="5" t="n">
        <v>0.21994</v>
      </c>
      <c r="BL96" s="5" t="n">
        <v>0.26594879</v>
      </c>
      <c r="BM96" s="5" t="n">
        <v>0.2499918626</v>
      </c>
    </row>
    <row r="97" customFormat="false" ht="15.75" hidden="false" customHeight="true" outlineLevel="0" collapsed="false">
      <c r="A97" s="2" t="n">
        <v>95</v>
      </c>
      <c r="B97" s="2" t="n">
        <v>0.2119844</v>
      </c>
      <c r="C97" s="4" t="n">
        <v>1</v>
      </c>
      <c r="D97" s="4" t="n">
        <v>0.21477013</v>
      </c>
      <c r="E97" s="4" t="n">
        <v>1</v>
      </c>
      <c r="F97" s="4" t="n">
        <v>0.20546321</v>
      </c>
      <c r="G97" s="4" t="n">
        <v>0.19005346925</v>
      </c>
      <c r="H97" s="4" t="n">
        <v>1</v>
      </c>
      <c r="I97" s="4" t="n">
        <v>0.2020913</v>
      </c>
      <c r="J97" s="4" t="n">
        <v>0.200070387</v>
      </c>
      <c r="K97" s="4" t="n">
        <v>0.202091302771106</v>
      </c>
      <c r="L97" s="5" t="n">
        <v>0.168687711643044</v>
      </c>
      <c r="M97" s="5" t="n">
        <f aca="false">L97/(1-0.19)</f>
        <v>0.208256434127215</v>
      </c>
      <c r="N97" s="5" t="n">
        <f aca="false">L97/(1-0.183)</f>
        <v>0.206472107274228</v>
      </c>
      <c r="O97" s="5" t="n">
        <v>0.204443115170312</v>
      </c>
      <c r="P97" s="5" t="n">
        <v>0.171343994230945</v>
      </c>
      <c r="Q97" s="5" t="n">
        <v>0.206958521616095</v>
      </c>
      <c r="R97" s="5" t="n">
        <v>0.201784558575693</v>
      </c>
      <c r="S97" s="4" t="n">
        <v>0.162179</v>
      </c>
      <c r="T97" s="4" t="n">
        <v>0.180245</v>
      </c>
      <c r="U97" s="4" t="n">
        <f aca="false">T97/(1-0.33)</f>
        <v>0.269022388059702</v>
      </c>
      <c r="V97" s="4" t="n">
        <v>0.316834</v>
      </c>
      <c r="W97" s="4" t="n">
        <v>0.237316</v>
      </c>
      <c r="X97" s="4" t="n">
        <v>0.243947</v>
      </c>
      <c r="Y97" s="4" t="n">
        <v>0.23174965</v>
      </c>
      <c r="Z97" s="4" t="n">
        <v>0.260096</v>
      </c>
      <c r="AA97" s="4" t="n">
        <v>0.2535936</v>
      </c>
      <c r="AB97" s="4" t="n">
        <v>0.191214</v>
      </c>
      <c r="AC97" s="4" t="n">
        <v>0.205300071</v>
      </c>
      <c r="AD97" s="4" t="n">
        <f aca="false">AC97/(1-0.1)</f>
        <v>0.22811119</v>
      </c>
      <c r="AE97" s="4" t="n">
        <f aca="false">AC97/(1-0.15)</f>
        <v>0.241529495294118</v>
      </c>
      <c r="AF97" s="4" t="n">
        <f aca="false">AC97/(1-0.2)</f>
        <v>0.25662508875</v>
      </c>
      <c r="AG97" s="4" t="n">
        <f aca="false">AC97/(1-0.24)</f>
        <v>0.270131672368421</v>
      </c>
      <c r="AH97" s="4" t="n">
        <v>0.3688</v>
      </c>
      <c r="AI97" s="4" t="n">
        <v>0.241164</v>
      </c>
      <c r="AJ97" s="4" t="n">
        <v>0.32996</v>
      </c>
      <c r="AK97" s="4" t="n">
        <v>0.38784</v>
      </c>
      <c r="AL97" s="4" t="n">
        <v>0.229038</v>
      </c>
      <c r="AM97" s="4" t="n">
        <v>0.123276</v>
      </c>
      <c r="AN97" s="4" t="n">
        <v>0.229639</v>
      </c>
      <c r="AO97" s="4" t="n">
        <v>0.19289676</v>
      </c>
      <c r="AP97" s="4" t="n">
        <v>0.19060037</v>
      </c>
      <c r="AQ97" s="4" t="n">
        <v>0.18830398</v>
      </c>
      <c r="AR97" s="4" t="n">
        <v>0.18600759</v>
      </c>
      <c r="AS97" s="4" t="n">
        <v>0.184859395</v>
      </c>
      <c r="AT97" s="4" t="n">
        <v>0.1837112</v>
      </c>
      <c r="AU97" s="4" t="n">
        <v>1</v>
      </c>
      <c r="AV97" s="4" t="n">
        <v>0.267491</v>
      </c>
      <c r="AW97" s="4" t="n">
        <v>0.601315</v>
      </c>
      <c r="AX97" s="4" t="n">
        <v>0.41506</v>
      </c>
      <c r="AY97" s="4" t="n">
        <v>0.251189</v>
      </c>
      <c r="AZ97" s="5" t="n">
        <v>1</v>
      </c>
      <c r="BA97" s="5" t="n">
        <v>0.205844</v>
      </c>
      <c r="BB97" s="5" t="n">
        <v>0.214499</v>
      </c>
      <c r="BC97" s="5" t="n">
        <v>0.13254</v>
      </c>
      <c r="BD97" s="5" t="n">
        <v>0.61538</v>
      </c>
      <c r="BE97" s="5" t="n">
        <v>1</v>
      </c>
      <c r="BF97" s="5" t="n">
        <v>0.1756482</v>
      </c>
      <c r="BG97" s="5" t="n">
        <f aca="false">BF97/(1-0.2)</f>
        <v>0.21956025</v>
      </c>
      <c r="BH97" s="5" t="n">
        <f aca="false">BF97/(1-0.25)</f>
        <v>0.2341976</v>
      </c>
      <c r="BI97" s="5" t="n">
        <v>0.1737468</v>
      </c>
      <c r="BJ97" s="5" t="n">
        <v>0.277402</v>
      </c>
      <c r="BK97" s="5" t="n">
        <v>0.240551</v>
      </c>
      <c r="BL97" s="5" t="n">
        <v>0.28807072</v>
      </c>
      <c r="BM97" s="5" t="n">
        <v>0.2707864768</v>
      </c>
    </row>
    <row r="98" customFormat="false" ht="15.75" hidden="false" customHeight="true" outlineLevel="0" collapsed="false">
      <c r="A98" s="2" t="n">
        <v>96</v>
      </c>
      <c r="B98" s="2" t="n">
        <v>0.23265651</v>
      </c>
      <c r="C98" s="4" t="n">
        <v>1</v>
      </c>
      <c r="D98" s="4" t="n">
        <v>0.23624543</v>
      </c>
      <c r="E98" s="4" t="n">
        <v>1</v>
      </c>
      <c r="F98" s="4" t="n">
        <v>0.22393052</v>
      </c>
      <c r="G98" s="4" t="n">
        <v>0.207135731</v>
      </c>
      <c r="H98" s="4" t="n">
        <v>1</v>
      </c>
      <c r="I98" s="4" t="n">
        <v>0.22460243</v>
      </c>
      <c r="J98" s="4" t="n">
        <v>0.2223564057</v>
      </c>
      <c r="K98" s="4" t="n">
        <v>0.224602425161516</v>
      </c>
      <c r="L98" s="5" t="n">
        <v>0.185361941770509</v>
      </c>
      <c r="M98" s="5" t="n">
        <f aca="false">L98/(1-0.19)</f>
        <v>0.228841903420382</v>
      </c>
      <c r="N98" s="5" t="n">
        <f aca="false">L98/(1-0.183)</f>
        <v>0.22688120167749</v>
      </c>
      <c r="O98" s="5" t="n">
        <v>0.227398633510619</v>
      </c>
      <c r="P98" s="5" t="n">
        <v>0.18846117927899</v>
      </c>
      <c r="Q98" s="5" t="n">
        <v>0.230396815642505</v>
      </c>
      <c r="R98" s="5" t="n">
        <v>0.224636895251442</v>
      </c>
      <c r="S98" s="4" t="n">
        <v>0.173279</v>
      </c>
      <c r="T98" s="4" t="n">
        <v>0.192565</v>
      </c>
      <c r="U98" s="4" t="n">
        <f aca="false">T98/(1-0.33)</f>
        <v>0.287410447761194</v>
      </c>
      <c r="V98" s="4" t="n">
        <v>0.343122</v>
      </c>
      <c r="W98" s="4" t="n">
        <v>0.253487</v>
      </c>
      <c r="X98" s="4" t="n">
        <v>0.261659</v>
      </c>
      <c r="Y98" s="4" t="n">
        <v>0.24857605</v>
      </c>
      <c r="Z98" s="4" t="n">
        <v>0.27604</v>
      </c>
      <c r="AA98" s="4" t="n">
        <v>0.269139</v>
      </c>
      <c r="AB98" s="4" t="n">
        <v>0.204721</v>
      </c>
      <c r="AC98" s="4" t="n">
        <v>0.2237457027</v>
      </c>
      <c r="AD98" s="4" t="n">
        <f aca="false">AC98/(1-0.1)</f>
        <v>0.248606336333333</v>
      </c>
      <c r="AE98" s="4" t="n">
        <f aca="false">AC98/(1-0.15)</f>
        <v>0.263230238470588</v>
      </c>
      <c r="AF98" s="4" t="n">
        <f aca="false">AC98/(1-0.2)</f>
        <v>0.279682128375</v>
      </c>
      <c r="AG98" s="4" t="n">
        <f aca="false">AC98/(1-0.24)</f>
        <v>0.294402240394737</v>
      </c>
      <c r="AH98" s="4" t="n">
        <v>0.42059</v>
      </c>
      <c r="AI98" s="4" t="n">
        <v>0.256204</v>
      </c>
      <c r="AJ98" s="4" t="n">
        <v>0.38455</v>
      </c>
      <c r="AK98" s="4" t="n">
        <v>0.416986</v>
      </c>
      <c r="AL98" s="4" t="n">
        <v>0.241491</v>
      </c>
      <c r="AM98" s="4" t="n">
        <v>0.132579</v>
      </c>
      <c r="AN98" s="4" t="n">
        <v>0.245402</v>
      </c>
      <c r="AO98" s="4" t="n">
        <v>0.20613768</v>
      </c>
      <c r="AP98" s="4" t="n">
        <v>0.20368366</v>
      </c>
      <c r="AQ98" s="4" t="n">
        <v>0.20122964</v>
      </c>
      <c r="AR98" s="4" t="n">
        <v>0.19877562</v>
      </c>
      <c r="AS98" s="4" t="n">
        <v>0.19754861</v>
      </c>
      <c r="AT98" s="4" t="n">
        <v>0.1963216</v>
      </c>
      <c r="AU98" s="4" t="n">
        <v>1</v>
      </c>
      <c r="AV98" s="4" t="n">
        <v>0.283905</v>
      </c>
      <c r="AW98" s="4" t="n">
        <v>0.642906</v>
      </c>
      <c r="AX98" s="4" t="n">
        <v>0.44532</v>
      </c>
      <c r="AY98" s="4" t="n">
        <v>0.270441</v>
      </c>
      <c r="AZ98" s="5" t="n">
        <v>1</v>
      </c>
      <c r="BA98" s="5" t="n">
        <v>0.219247</v>
      </c>
      <c r="BB98" s="5" t="n">
        <v>0.23465</v>
      </c>
      <c r="BC98" s="5" t="n">
        <v>0.143757</v>
      </c>
      <c r="BD98" s="5" t="n">
        <v>0.8</v>
      </c>
      <c r="BE98" s="5" t="n">
        <v>1</v>
      </c>
      <c r="BF98" s="5" t="n">
        <v>0.1899291</v>
      </c>
      <c r="BG98" s="5" t="n">
        <f aca="false">BF98/(1-0.2)</f>
        <v>0.237411375</v>
      </c>
      <c r="BH98" s="5" t="n">
        <f aca="false">BF98/(1-0.25)</f>
        <v>0.2532388</v>
      </c>
      <c r="BI98" s="5" t="n">
        <v>0.1895589</v>
      </c>
      <c r="BJ98" s="5" t="n">
        <v>0.300882</v>
      </c>
      <c r="BK98" s="5" t="n">
        <v>0.262751</v>
      </c>
      <c r="BL98" s="5" t="n">
        <v>0.31161105</v>
      </c>
      <c r="BM98" s="5" t="n">
        <v>0.292914387</v>
      </c>
    </row>
    <row r="99" customFormat="false" ht="15.75" hidden="false" customHeight="true" outlineLevel="0" collapsed="false">
      <c r="A99" s="2" t="n">
        <v>97</v>
      </c>
      <c r="B99" s="2" t="n">
        <v>0.25802246</v>
      </c>
      <c r="C99" s="4" t="n">
        <v>1</v>
      </c>
      <c r="D99" s="4" t="n">
        <v>0.26264902</v>
      </c>
      <c r="E99" s="4" t="n">
        <v>1</v>
      </c>
      <c r="F99" s="4" t="n">
        <v>0.24649751</v>
      </c>
      <c r="G99" s="4" t="n">
        <v>0.22801019675</v>
      </c>
      <c r="H99" s="4" t="n">
        <v>1</v>
      </c>
      <c r="I99" s="4" t="n">
        <v>0.25182461</v>
      </c>
      <c r="J99" s="4" t="n">
        <v>0.2493063639</v>
      </c>
      <c r="K99" s="4" t="n">
        <v>0.251824607102193</v>
      </c>
      <c r="L99" s="5" t="n">
        <v>0.204937676391751</v>
      </c>
      <c r="M99" s="5" t="n">
        <f aca="false">L99/(1-0.19)</f>
        <v>0.253009477026853</v>
      </c>
      <c r="N99" s="5" t="n">
        <f aca="false">L99/(1-0.183)</f>
        <v>0.25084170916983</v>
      </c>
      <c r="O99" s="5" t="n">
        <v>0.255214439058253</v>
      </c>
      <c r="P99" s="5" t="n">
        <v>0.208605009876902</v>
      </c>
      <c r="Q99" s="5" t="n">
        <v>0.25885873814906</v>
      </c>
      <c r="R99" s="5" t="n">
        <v>0.252387269695333</v>
      </c>
      <c r="S99" s="4" t="n">
        <v>0.184706</v>
      </c>
      <c r="T99" s="4" t="n">
        <v>0.205229</v>
      </c>
      <c r="U99" s="4" t="n">
        <f aca="false">T99/(1-0.33)</f>
        <v>0.306311940298508</v>
      </c>
      <c r="V99" s="4" t="n">
        <v>0.370973</v>
      </c>
      <c r="W99" s="4" t="n">
        <v>0.271569</v>
      </c>
      <c r="X99" s="4" t="n">
        <v>0.280342</v>
      </c>
      <c r="Y99" s="4" t="n">
        <v>0.2663249</v>
      </c>
      <c r="Z99" s="4" t="n">
        <v>0.293282</v>
      </c>
      <c r="AA99" s="4" t="n">
        <v>0.28594995</v>
      </c>
      <c r="AB99" s="4" t="n">
        <v>0.21912</v>
      </c>
      <c r="AC99" s="4" t="n">
        <v>0.2436991431</v>
      </c>
      <c r="AD99" s="4" t="n">
        <f aca="false">AC99/(1-0.1)</f>
        <v>0.270776825666667</v>
      </c>
      <c r="AE99" s="4" t="n">
        <f aca="false">AC99/(1-0.15)</f>
        <v>0.286704874235294</v>
      </c>
      <c r="AF99" s="4" t="n">
        <f aca="false">AC99/(1-0.2)</f>
        <v>0.304623928875</v>
      </c>
      <c r="AG99" s="4" t="n">
        <f aca="false">AC99/(1-0.24)</f>
        <v>0.320656767236842</v>
      </c>
      <c r="AH99" s="4" t="n">
        <v>0.51284</v>
      </c>
      <c r="AI99" s="4" t="n">
        <v>0.27248</v>
      </c>
      <c r="AJ99" s="4" t="n">
        <v>0.4802</v>
      </c>
      <c r="AK99" s="4" t="n">
        <v>0.447535</v>
      </c>
      <c r="AL99" s="4" t="n">
        <v>0.254295</v>
      </c>
      <c r="AM99" s="4" t="n">
        <v>0.14241</v>
      </c>
      <c r="AN99" s="4" t="n">
        <v>0.262528</v>
      </c>
      <c r="AO99" s="4" t="n">
        <v>0.22052352</v>
      </c>
      <c r="AP99" s="4" t="n">
        <v>0.21789824</v>
      </c>
      <c r="AQ99" s="4" t="n">
        <v>0.21527296</v>
      </c>
      <c r="AR99" s="4" t="n">
        <v>0.21264768</v>
      </c>
      <c r="AS99" s="4" t="n">
        <v>0.21133504</v>
      </c>
      <c r="AT99" s="4" t="n">
        <v>0.2100224</v>
      </c>
      <c r="AU99" s="4" t="n">
        <v>1</v>
      </c>
      <c r="AV99" s="4" t="n">
        <v>0.299852</v>
      </c>
      <c r="AW99" s="4" t="n">
        <v>0.685967</v>
      </c>
      <c r="AX99" s="4" t="n">
        <v>0.47681</v>
      </c>
      <c r="AY99" s="4" t="n">
        <v>0.289048</v>
      </c>
      <c r="AZ99" s="5" t="n">
        <v>1</v>
      </c>
      <c r="BA99" s="5" t="n">
        <v>0.238612</v>
      </c>
      <c r="BB99" s="5" t="n">
        <v>0.25618</v>
      </c>
      <c r="BC99" s="5" t="n">
        <v>0.155979</v>
      </c>
      <c r="BD99" s="5" t="n">
        <v>1</v>
      </c>
      <c r="BE99" s="5" t="n">
        <v>1</v>
      </c>
      <c r="BF99" s="5" t="n">
        <v>0.205371</v>
      </c>
      <c r="BG99" s="5" t="n">
        <f aca="false">BF99/(1-0.2)</f>
        <v>0.25671375</v>
      </c>
      <c r="BH99" s="5" t="n">
        <f aca="false">BF99/(1-0.25)</f>
        <v>0.273828</v>
      </c>
      <c r="BI99" s="5" t="n">
        <v>0.205371</v>
      </c>
      <c r="BJ99" s="5" t="n">
        <v>0.324326</v>
      </c>
      <c r="BK99" s="5" t="n">
        <v>0.286589</v>
      </c>
      <c r="BL99" s="5" t="n">
        <v>0.33658138</v>
      </c>
      <c r="BM99" s="5" t="n">
        <v>0.3163864972</v>
      </c>
    </row>
    <row r="100" customFormat="false" ht="15.75" hidden="false" customHeight="true" outlineLevel="0" collapsed="false">
      <c r="A100" s="2" t="n">
        <v>98</v>
      </c>
      <c r="B100" s="2" t="n">
        <v>0.28966935</v>
      </c>
      <c r="C100" s="4" t="n">
        <v>1</v>
      </c>
      <c r="D100" s="4" t="n">
        <v>0.29567152</v>
      </c>
      <c r="E100" s="4" t="n">
        <v>1</v>
      </c>
      <c r="F100" s="4" t="n">
        <v>0.27449561</v>
      </c>
      <c r="G100" s="4" t="n">
        <v>0.25390843925</v>
      </c>
      <c r="H100" s="4" t="n">
        <v>1</v>
      </c>
      <c r="I100" s="4" t="n">
        <v>0.28535845</v>
      </c>
      <c r="J100" s="4" t="n">
        <v>0.2825048655</v>
      </c>
      <c r="K100" s="4" t="n">
        <v>0.285358450818581</v>
      </c>
      <c r="L100" s="5" t="n">
        <v>0.22826267909442</v>
      </c>
      <c r="M100" s="5" t="n">
        <f aca="false">L100/(1-0.19)</f>
        <v>0.281805776659778</v>
      </c>
      <c r="N100" s="5" t="n">
        <f aca="false">L100/(1-0.183)</f>
        <v>0.279391284081297</v>
      </c>
      <c r="O100" s="5" t="n">
        <v>0.289557111877873</v>
      </c>
      <c r="P100" s="5" t="n">
        <v>0.232671931793392</v>
      </c>
      <c r="Q100" s="5" t="n">
        <v>0.294083627532635</v>
      </c>
      <c r="R100" s="5" t="n">
        <v>0.286731536844319</v>
      </c>
      <c r="S100" s="4" t="n">
        <v>0.196946</v>
      </c>
      <c r="T100" s="4" t="n">
        <v>0.218683</v>
      </c>
      <c r="U100" s="4" t="n">
        <f aca="false">T100/(1-0.33)</f>
        <v>0.326392537313433</v>
      </c>
      <c r="V100" s="4" t="n">
        <v>0.400352</v>
      </c>
      <c r="W100" s="4" t="n">
        <v>0.293138</v>
      </c>
      <c r="X100" s="4" t="n">
        <v>0.300015</v>
      </c>
      <c r="Y100" s="4" t="n">
        <v>0.28501425</v>
      </c>
      <c r="Z100" s="4" t="n">
        <v>0.312003</v>
      </c>
      <c r="AA100" s="4" t="n">
        <v>0.304202925</v>
      </c>
      <c r="AB100" s="4" t="n">
        <v>0.234735</v>
      </c>
      <c r="AC100" s="4" t="n">
        <v>0.2652549372</v>
      </c>
      <c r="AD100" s="4" t="n">
        <f aca="false">AC100/(1-0.1)</f>
        <v>0.294727708</v>
      </c>
      <c r="AE100" s="4" t="n">
        <f aca="false">AC100/(1-0.15)</f>
        <v>0.312064632</v>
      </c>
      <c r="AF100" s="4" t="n">
        <f aca="false">AC100/(1-0.2)</f>
        <v>0.3315686715</v>
      </c>
      <c r="AG100" s="4" t="n">
        <f aca="false">AC100/(1-0.24)</f>
        <v>0.349019654210526</v>
      </c>
      <c r="AH100" s="4" t="n">
        <v>0.70156</v>
      </c>
      <c r="AI100" s="4" t="n">
        <v>0.290163</v>
      </c>
      <c r="AJ100" s="4" t="n">
        <v>0.65798</v>
      </c>
      <c r="AK100" s="4" t="n">
        <v>0.479438</v>
      </c>
      <c r="AL100" s="4" t="n">
        <v>0.267448</v>
      </c>
      <c r="AM100" s="4" t="n">
        <v>0.152769</v>
      </c>
      <c r="AN100" s="4" t="n">
        <v>0.282354</v>
      </c>
      <c r="AO100" s="4" t="n">
        <v>0.23717736</v>
      </c>
      <c r="AP100" s="4" t="n">
        <v>0.23435382</v>
      </c>
      <c r="AQ100" s="4" t="n">
        <v>0.23153028</v>
      </c>
      <c r="AR100" s="4" t="n">
        <v>0.22870674</v>
      </c>
      <c r="AS100" s="4" t="n">
        <v>0.22729497</v>
      </c>
      <c r="AT100" s="4" t="n">
        <v>0.2258832</v>
      </c>
      <c r="AU100" s="4" t="n">
        <v>1</v>
      </c>
      <c r="AV100" s="4" t="n">
        <v>0.315296</v>
      </c>
      <c r="AW100" s="4" t="n">
        <v>0.730365</v>
      </c>
      <c r="AX100" s="4" t="n">
        <v>0.50939</v>
      </c>
      <c r="AY100" s="4" t="n">
        <v>0.30675</v>
      </c>
      <c r="AZ100" s="5" t="n">
        <v>1</v>
      </c>
      <c r="BA100" s="5" t="n">
        <v>0.258341</v>
      </c>
      <c r="BB100" s="5" t="n">
        <v>0.279025</v>
      </c>
      <c r="BC100" s="5" t="n">
        <v>0.169421</v>
      </c>
      <c r="BD100" s="5" t="n">
        <v>1</v>
      </c>
      <c r="BE100" s="5" t="n">
        <v>1</v>
      </c>
      <c r="BF100" s="5" t="n">
        <v>0.2220684</v>
      </c>
      <c r="BG100" s="5" t="n">
        <f aca="false">BF100/(1-0.2)</f>
        <v>0.2775855</v>
      </c>
      <c r="BH100" s="5" t="n">
        <f aca="false">BF100/(1-0.25)</f>
        <v>0.2960912</v>
      </c>
      <c r="BI100" s="5" t="n">
        <v>0.2220684</v>
      </c>
      <c r="BJ100" s="5" t="n">
        <v>0.347332</v>
      </c>
      <c r="BK100" s="5" t="n">
        <v>0.3121</v>
      </c>
      <c r="BL100" s="5" t="n">
        <v>0.36297642</v>
      </c>
      <c r="BM100" s="5" t="n">
        <v>0.3411978348</v>
      </c>
    </row>
    <row r="101" customFormat="false" ht="15.75" hidden="false" customHeight="true" outlineLevel="0" collapsed="false">
      <c r="A101" s="2" t="n">
        <v>99</v>
      </c>
      <c r="B101" s="2" t="n">
        <v>0.32990544</v>
      </c>
      <c r="C101" s="4" t="n">
        <v>1</v>
      </c>
      <c r="D101" s="4" t="n">
        <v>0.33777938</v>
      </c>
      <c r="E101" s="4" t="n">
        <v>1</v>
      </c>
      <c r="F101" s="4" t="n">
        <v>0.30984256</v>
      </c>
      <c r="G101" s="4" t="n">
        <v>0.286604368</v>
      </c>
      <c r="H101" s="4" t="n">
        <v>1</v>
      </c>
      <c r="I101" s="4" t="n">
        <v>0.32753411</v>
      </c>
      <c r="J101" s="4" t="n">
        <v>0.3242587689</v>
      </c>
      <c r="K101" s="4" t="n">
        <v>0.327534113131714</v>
      </c>
      <c r="L101" s="5" t="n">
        <v>0.256525600126559</v>
      </c>
      <c r="M101" s="5" t="n">
        <f aca="false">L101/(1-0.19)</f>
        <v>0.316698271761185</v>
      </c>
      <c r="N101" s="5" t="n">
        <f aca="false">L101/(1-0.183)</f>
        <v>0.313984822676327</v>
      </c>
      <c r="O101" s="5" t="n">
        <v>0.332857546038316</v>
      </c>
      <c r="P101" s="5" t="n">
        <v>0.261923395788202</v>
      </c>
      <c r="Q101" s="5" t="n">
        <v>0.338613429426164</v>
      </c>
      <c r="R101" s="5" t="n">
        <v>0.33014809369051</v>
      </c>
      <c r="S101" s="4" t="n">
        <v>0.210484</v>
      </c>
      <c r="T101" s="4" t="n">
        <v>0.233371</v>
      </c>
      <c r="U101" s="4" t="n">
        <f aca="false">T101/(1-0.33)</f>
        <v>0.348314925373134</v>
      </c>
      <c r="V101" s="4" t="n">
        <v>0.431199</v>
      </c>
      <c r="W101" s="4" t="n">
        <v>0.318434</v>
      </c>
      <c r="X101" s="4" t="n">
        <v>0.320696</v>
      </c>
      <c r="Y101" s="4" t="n">
        <v>0.3046612</v>
      </c>
      <c r="Z101" s="4" t="n">
        <v>0.332393</v>
      </c>
      <c r="AA101" s="4" t="n">
        <v>0.324083175</v>
      </c>
      <c r="AB101" s="4" t="n">
        <v>0.251889</v>
      </c>
      <c r="AC101" s="4" t="n">
        <v>0.2885437547</v>
      </c>
      <c r="AD101" s="4" t="n">
        <f aca="false">AC101/(1-0.1)</f>
        <v>0.320604171888889</v>
      </c>
      <c r="AE101" s="4" t="n">
        <f aca="false">AC101/(1-0.15)</f>
        <v>0.339463240823529</v>
      </c>
      <c r="AF101" s="4" t="n">
        <f aca="false">AC101/(1-0.2)</f>
        <v>0.360679693375</v>
      </c>
      <c r="AG101" s="4" t="n">
        <f aca="false">AC101/(1-0.24)</f>
        <v>0.379662835131579</v>
      </c>
      <c r="AH101" s="4" t="n">
        <v>1</v>
      </c>
      <c r="AI101" s="4" t="n">
        <v>0.309125</v>
      </c>
      <c r="AJ101" s="4" t="n">
        <v>1</v>
      </c>
      <c r="AK101" s="4" t="n">
        <v>0.51263</v>
      </c>
      <c r="AL101" s="4" t="n">
        <v>0.280951</v>
      </c>
      <c r="AM101" s="4" t="n">
        <v>0.163656</v>
      </c>
      <c r="AN101" s="4" t="n">
        <v>0.305786</v>
      </c>
      <c r="AO101" s="4" t="n">
        <v>0.25686024</v>
      </c>
      <c r="AP101" s="4" t="n">
        <v>0.25380238</v>
      </c>
      <c r="AQ101" s="4" t="n">
        <v>0.25074452</v>
      </c>
      <c r="AR101" s="4" t="n">
        <v>0.24768666</v>
      </c>
      <c r="AS101" s="4" t="n">
        <v>0.24615773</v>
      </c>
      <c r="AT101" s="4" t="n">
        <v>0.2446288</v>
      </c>
      <c r="AU101" s="4" t="n">
        <v>1</v>
      </c>
      <c r="AV101" s="4" t="n">
        <v>0.330207</v>
      </c>
      <c r="AW101" s="4" t="n">
        <v>0.775943</v>
      </c>
      <c r="AX101" s="4" t="n">
        <v>0.54289</v>
      </c>
      <c r="AY101" s="4" t="n">
        <v>0.323976</v>
      </c>
      <c r="AZ101" s="5" t="n">
        <v>1</v>
      </c>
      <c r="BA101" s="5" t="n">
        <v>0.278219</v>
      </c>
      <c r="BB101" s="5" t="n">
        <v>0.30312</v>
      </c>
      <c r="BC101" s="5" t="n">
        <v>0.184301</v>
      </c>
      <c r="BD101" s="5" t="n">
        <v>1</v>
      </c>
      <c r="BE101" s="5" t="n">
        <v>1</v>
      </c>
      <c r="BF101" s="5" t="n">
        <v>0.2401233</v>
      </c>
      <c r="BG101" s="5" t="n">
        <f aca="false">BF101/(1-0.2)</f>
        <v>0.300154125</v>
      </c>
      <c r="BH101" s="5" t="n">
        <f aca="false">BF101/(1-0.25)</f>
        <v>0.3201644</v>
      </c>
      <c r="BI101" s="5" t="n">
        <v>0.2401233</v>
      </c>
      <c r="BJ101" s="5" t="n">
        <v>0.36943</v>
      </c>
      <c r="BK101" s="5" t="n">
        <v>0.339298</v>
      </c>
      <c r="BL101" s="5" t="n">
        <v>0.39077081</v>
      </c>
      <c r="BM101" s="5" t="n">
        <v>0.3673245614</v>
      </c>
    </row>
    <row r="102" customFormat="false" ht="15.75" hidden="false" customHeight="true" outlineLevel="0" collapsed="false">
      <c r="A102" s="2" t="n">
        <v>100</v>
      </c>
      <c r="B102" s="2" t="n">
        <v>0.3821346</v>
      </c>
      <c r="C102" s="4" t="n">
        <v>1</v>
      </c>
      <c r="D102" s="4" t="n">
        <v>0.39261345</v>
      </c>
      <c r="E102" s="4" t="n">
        <v>1</v>
      </c>
      <c r="F102" s="4" t="n">
        <v>0.35535051</v>
      </c>
      <c r="G102" s="4" t="n">
        <v>0.32869922175</v>
      </c>
      <c r="H102" s="4" t="n">
        <v>1</v>
      </c>
      <c r="I102" s="4" t="n">
        <v>0.38178914</v>
      </c>
      <c r="J102" s="4" t="n">
        <v>0.3779712486</v>
      </c>
      <c r="K102" s="4" t="n">
        <v>0.381789144343593</v>
      </c>
      <c r="L102" s="5" t="n">
        <v>0.29142878277593</v>
      </c>
      <c r="M102" s="5" t="n">
        <f aca="false">L102/(1-0.19)</f>
        <v>0.359788620711025</v>
      </c>
      <c r="N102" s="5" t="n">
        <f aca="false">L102/(1-0.183)</f>
        <v>0.356705976469927</v>
      </c>
      <c r="O102" s="5" t="n">
        <v>0.388704053427558</v>
      </c>
      <c r="P102" s="5" t="n">
        <v>0.298172355999636</v>
      </c>
      <c r="Q102" s="5" t="n">
        <v>0.396201698237147</v>
      </c>
      <c r="R102" s="5" t="n">
        <v>0.386296655781219</v>
      </c>
      <c r="S102" s="4" t="n">
        <v>0.225806</v>
      </c>
      <c r="T102" s="4" t="n">
        <v>0.249741</v>
      </c>
      <c r="U102" s="4" t="n">
        <f aca="false">T102/(1-0.33)</f>
        <v>0.37274776119403</v>
      </c>
      <c r="V102" s="4" t="n">
        <v>0.463415</v>
      </c>
      <c r="W102" s="4" t="n">
        <v>0.347873</v>
      </c>
      <c r="X102" s="4" t="n">
        <v>0.342402</v>
      </c>
      <c r="Y102" s="4" t="n">
        <v>0.3252819</v>
      </c>
      <c r="Z102" s="4" t="n">
        <v>0.35465</v>
      </c>
      <c r="AA102" s="4" t="n">
        <v>0.34578375</v>
      </c>
      <c r="AB102" s="4" t="n">
        <v>0.270906</v>
      </c>
      <c r="AC102" s="4" t="n">
        <v>0.3135964381</v>
      </c>
      <c r="AD102" s="4" t="n">
        <f aca="false">AC102/(1-0.1)</f>
        <v>0.348440486777778</v>
      </c>
      <c r="AE102" s="4" t="n">
        <f aca="false">AC102/(1-0.15)</f>
        <v>0.368936986</v>
      </c>
      <c r="AF102" s="4" t="n">
        <f aca="false">AC102/(1-0.2)</f>
        <v>0.391995547625</v>
      </c>
      <c r="AG102" s="4" t="n">
        <f aca="false">AC102/(1-0.24)</f>
        <v>0.412626892236842</v>
      </c>
      <c r="AH102" s="4" t="n">
        <v>1</v>
      </c>
      <c r="AI102" s="4" t="n">
        <v>0.329825</v>
      </c>
      <c r="AJ102" s="4" t="n">
        <v>1</v>
      </c>
      <c r="AK102" s="4" t="n">
        <v>0.547029</v>
      </c>
      <c r="AL102" s="4" t="n">
        <v>0.294803</v>
      </c>
      <c r="AM102" s="4" t="n">
        <v>0.17507</v>
      </c>
      <c r="AN102" s="4" t="n">
        <v>0.333154</v>
      </c>
      <c r="AO102" s="4" t="n">
        <v>0.27984936</v>
      </c>
      <c r="AP102" s="4" t="n">
        <v>0.27651782</v>
      </c>
      <c r="AQ102" s="4" t="n">
        <v>0.27318628</v>
      </c>
      <c r="AR102" s="4" t="n">
        <v>0.26985474</v>
      </c>
      <c r="AS102" s="4" t="n">
        <v>0.26818897</v>
      </c>
      <c r="AT102" s="4" t="n">
        <v>0.2665232</v>
      </c>
      <c r="AU102" s="4" t="n">
        <v>1</v>
      </c>
      <c r="AV102" s="4" t="n">
        <v>0.344556</v>
      </c>
      <c r="AW102" s="4" t="n">
        <v>0.822527</v>
      </c>
      <c r="AX102" s="4" t="n">
        <v>0.57711</v>
      </c>
      <c r="AY102" s="4" t="n">
        <v>0.341116</v>
      </c>
      <c r="AZ102" s="5" t="n">
        <v>1</v>
      </c>
      <c r="BA102" s="5" t="n">
        <v>0.298452</v>
      </c>
      <c r="BB102" s="5" t="n">
        <v>0.328401</v>
      </c>
      <c r="BC102" s="5" t="n">
        <v>0.200836</v>
      </c>
      <c r="BD102" s="5" t="n">
        <v>1</v>
      </c>
      <c r="BE102" s="5" t="n">
        <v>1</v>
      </c>
      <c r="BF102" s="5" t="n">
        <v>0.2596462</v>
      </c>
      <c r="BG102" s="5" t="n">
        <f aca="false">BF102/(1-0.2)</f>
        <v>0.32455775</v>
      </c>
      <c r="BH102" s="5" t="n">
        <f aca="false">BF102/(1-0.25)</f>
        <v>0.346194933333333</v>
      </c>
      <c r="BI102" s="5" t="n">
        <v>0.2596462</v>
      </c>
      <c r="BJ102" s="5" t="n">
        <v>0.391927</v>
      </c>
      <c r="BK102" s="5" t="n">
        <v>0.368176</v>
      </c>
      <c r="BL102" s="5" t="n">
        <v>0.41991583</v>
      </c>
      <c r="BM102" s="5" t="n">
        <v>0.3947208802</v>
      </c>
    </row>
    <row r="103" customFormat="false" ht="15.75" hidden="false" customHeight="true" outlineLevel="0" collapsed="false">
      <c r="A103" s="2" t="n">
        <v>101</v>
      </c>
      <c r="B103" s="2" t="n">
        <v>0.45134657</v>
      </c>
      <c r="C103" s="4" t="n">
        <v>1</v>
      </c>
      <c r="D103" s="4" t="n">
        <v>0.4654827</v>
      </c>
      <c r="E103" s="4" t="n">
        <v>1</v>
      </c>
      <c r="F103" s="4" t="n">
        <v>0.41517031</v>
      </c>
      <c r="G103" s="4" t="n">
        <v>0.38403253675</v>
      </c>
      <c r="H103" s="4" t="n">
        <v>1</v>
      </c>
      <c r="I103" s="4" t="n">
        <v>0.453156</v>
      </c>
      <c r="J103" s="4" t="n">
        <v>0.44862444</v>
      </c>
      <c r="K103" s="4" t="n">
        <v>0.453156003097054</v>
      </c>
      <c r="L103" s="5" t="n">
        <v>0.335457712262449</v>
      </c>
      <c r="M103" s="5" t="n">
        <f aca="false">L103/(1-0.19)</f>
        <v>0.414145323780802</v>
      </c>
      <c r="N103" s="5" t="n">
        <f aca="false">L103/(1-0.183)</f>
        <v>0.410596955033598</v>
      </c>
      <c r="O103" s="5" t="n">
        <v>0.462331615995801</v>
      </c>
      <c r="P103" s="5" t="n">
        <v>0.344073036865579</v>
      </c>
      <c r="Q103" s="5" t="n">
        <v>0.472299830448634</v>
      </c>
      <c r="R103" s="5" t="n">
        <v>0.460492334687418</v>
      </c>
      <c r="S103" s="4" t="n">
        <v>0.243398</v>
      </c>
      <c r="T103" s="4" t="n">
        <v>0.268237</v>
      </c>
      <c r="U103" s="4" t="n">
        <f aca="false">T103/(1-0.33)</f>
        <v>0.400353731343284</v>
      </c>
      <c r="V103" s="4" t="n">
        <v>0.49687</v>
      </c>
      <c r="W103" s="4" t="n">
        <v>0.382434</v>
      </c>
      <c r="X103" s="4" t="n">
        <v>0.36515</v>
      </c>
      <c r="Y103" s="4" t="n">
        <v>0.3468925</v>
      </c>
      <c r="Z103" s="4" t="n">
        <v>0.378984</v>
      </c>
      <c r="AA103" s="4" t="n">
        <v>0.3695094</v>
      </c>
      <c r="AB103" s="4" t="n">
        <v>0.292111</v>
      </c>
      <c r="AC103" s="4" t="n">
        <v>0.3405239004</v>
      </c>
      <c r="AD103" s="4" t="n">
        <f aca="false">AC103/(1-0.1)</f>
        <v>0.378359889333333</v>
      </c>
      <c r="AE103" s="4" t="n">
        <f aca="false">AC103/(1-0.15)</f>
        <v>0.400616353411765</v>
      </c>
      <c r="AF103" s="4" t="n">
        <f aca="false">AC103/(1-0.2)</f>
        <v>0.4256548755</v>
      </c>
      <c r="AG103" s="4" t="n">
        <f aca="false">AC103/(1-0.24)</f>
        <v>0.448057763684211</v>
      </c>
      <c r="AH103" s="4" t="n">
        <v>1</v>
      </c>
      <c r="AI103" s="4" t="n">
        <v>0.352455</v>
      </c>
      <c r="AJ103" s="4" t="n">
        <v>1</v>
      </c>
      <c r="AK103" s="4" t="n">
        <v>0.582533</v>
      </c>
      <c r="AL103" s="4" t="n">
        <v>0.309006</v>
      </c>
      <c r="AM103" s="4" t="n">
        <v>0.187013</v>
      </c>
      <c r="AN103" s="4" t="n">
        <v>0.365154</v>
      </c>
      <c r="AO103" s="4" t="n">
        <v>0.30672936</v>
      </c>
      <c r="AP103" s="4" t="n">
        <v>0.30307782</v>
      </c>
      <c r="AQ103" s="4" t="n">
        <v>0.29942628</v>
      </c>
      <c r="AR103" s="4" t="n">
        <v>0.29577474</v>
      </c>
      <c r="AS103" s="4" t="n">
        <v>0.29394897</v>
      </c>
      <c r="AT103" s="4" t="n">
        <v>0.2921232</v>
      </c>
      <c r="AU103" s="4" t="n">
        <v>1</v>
      </c>
      <c r="AV103" s="4" t="n">
        <v>0.358628</v>
      </c>
      <c r="AW103" s="4" t="n">
        <v>0.869923</v>
      </c>
      <c r="AX103" s="4" t="n">
        <v>0.61181</v>
      </c>
      <c r="AY103" s="4" t="n">
        <v>0.35856</v>
      </c>
      <c r="AZ103" s="5" t="n">
        <v>1</v>
      </c>
      <c r="BA103" s="5" t="n">
        <v>0.32361</v>
      </c>
      <c r="BB103" s="5" t="n">
        <v>0.354803</v>
      </c>
      <c r="BC103" s="5" t="n">
        <v>0.219242</v>
      </c>
      <c r="BD103" s="5" t="n">
        <v>1</v>
      </c>
      <c r="BE103" s="5" t="n">
        <v>1</v>
      </c>
      <c r="BF103" s="5" t="n">
        <v>0.2807563</v>
      </c>
      <c r="BG103" s="5" t="n">
        <f aca="false">BF103/(1-0.2)</f>
        <v>0.350945375</v>
      </c>
      <c r="BH103" s="5" t="n">
        <f aca="false">BF103/(1-0.25)</f>
        <v>0.374341733333333</v>
      </c>
      <c r="BI103" s="5" t="n">
        <v>0.2807563</v>
      </c>
      <c r="BJ103" s="5" t="n">
        <v>0.414726</v>
      </c>
      <c r="BK103" s="5" t="n">
        <v>0.398698</v>
      </c>
      <c r="BL103" s="5" t="n">
        <v>0.45033616</v>
      </c>
      <c r="BM103" s="5" t="n">
        <v>0.4233159904</v>
      </c>
    </row>
    <row r="104" customFormat="false" ht="15.75" hidden="false" customHeight="true" outlineLevel="0" collapsed="false">
      <c r="A104" s="2" t="n">
        <v>102</v>
      </c>
      <c r="B104" s="2" t="n">
        <v>0.54437163</v>
      </c>
      <c r="C104" s="4" t="n">
        <v>1</v>
      </c>
      <c r="D104" s="4" t="n">
        <v>0.56346294</v>
      </c>
      <c r="E104" s="4" t="n">
        <v>1</v>
      </c>
      <c r="F104" s="4" t="n">
        <v>0.4952573</v>
      </c>
      <c r="G104" s="4" t="n">
        <v>0.4581130025</v>
      </c>
      <c r="H104" s="4" t="n">
        <v>1</v>
      </c>
      <c r="I104" s="4" t="n">
        <v>0.54847479</v>
      </c>
      <c r="J104" s="4" t="n">
        <v>0.5429900421</v>
      </c>
      <c r="K104" s="4" t="n">
        <v>0.548474790433125</v>
      </c>
      <c r="L104" s="5" t="n">
        <v>0.392282011508477</v>
      </c>
      <c r="M104" s="5" t="n">
        <f aca="false">L104/(1-0.19)</f>
        <v>0.484298779640096</v>
      </c>
      <c r="N104" s="5" t="n">
        <f aca="false">L104/(1-0.183)</f>
        <v>0.480149340891649</v>
      </c>
      <c r="O104" s="5" t="n">
        <v>0.560733329283831</v>
      </c>
      <c r="P104" s="5" t="n">
        <v>0.40354482348386</v>
      </c>
      <c r="Q104" s="5" t="n">
        <v>0.57403456119528</v>
      </c>
      <c r="R104" s="5" t="n">
        <v>0.559683697165398</v>
      </c>
      <c r="S104" s="4" t="n">
        <v>0.263745</v>
      </c>
      <c r="T104" s="4" t="n">
        <v>0.289305</v>
      </c>
      <c r="U104" s="4" t="n">
        <f aca="false">T104/(1-0.33)</f>
        <v>0.431798507462687</v>
      </c>
      <c r="V104" s="4" t="n">
        <v>0.531389</v>
      </c>
      <c r="W104" s="4" t="n">
        <v>0.42281</v>
      </c>
      <c r="X104" s="4" t="n">
        <v>0.388956</v>
      </c>
      <c r="Y104" s="4" t="n">
        <v>0.3695082</v>
      </c>
      <c r="Z104" s="4" t="n">
        <v>0.405613</v>
      </c>
      <c r="AA104" s="4" t="n">
        <v>0.395472675</v>
      </c>
      <c r="AB104" s="4" t="n">
        <v>0.315826</v>
      </c>
      <c r="AC104" s="4" t="n">
        <v>0.3693667774</v>
      </c>
      <c r="AD104" s="4" t="n">
        <f aca="false">AC104/(1-0.1)</f>
        <v>0.410407530444444</v>
      </c>
      <c r="AE104" s="4" t="n">
        <f aca="false">AC104/(1-0.15)</f>
        <v>0.434549149882353</v>
      </c>
      <c r="AF104" s="4" t="n">
        <f aca="false">AC104/(1-0.2)</f>
        <v>0.46170847175</v>
      </c>
      <c r="AG104" s="4" t="n">
        <f aca="false">AC104/(1-0.24)</f>
        <v>0.486008917631579</v>
      </c>
      <c r="AH104" s="4" t="n">
        <v>1</v>
      </c>
      <c r="AI104" s="4" t="n">
        <v>0.37722</v>
      </c>
      <c r="AJ104" s="4" t="n">
        <v>1</v>
      </c>
      <c r="AK104" s="4" t="n">
        <v>0.619026</v>
      </c>
      <c r="AL104" s="4" t="n">
        <v>0.323558</v>
      </c>
      <c r="AM104" s="4" t="n">
        <v>0.199483</v>
      </c>
      <c r="AN104" s="4" t="n">
        <v>0.402622</v>
      </c>
      <c r="AO104" s="4" t="n">
        <v>0.33820248</v>
      </c>
      <c r="AP104" s="4" t="n">
        <v>0.33417626</v>
      </c>
      <c r="AQ104" s="4" t="n">
        <v>0.33015004</v>
      </c>
      <c r="AR104" s="4" t="n">
        <v>0.32612382</v>
      </c>
      <c r="AS104" s="4" t="n">
        <v>0.32411071</v>
      </c>
      <c r="AT104" s="4" t="n">
        <v>0.3220976</v>
      </c>
      <c r="AU104" s="4" t="n">
        <v>1</v>
      </c>
      <c r="AV104" s="4" t="n">
        <v>0.371685</v>
      </c>
      <c r="AW104" s="4" t="n">
        <v>0.917925</v>
      </c>
      <c r="AX104" s="4" t="n">
        <v>0.6467</v>
      </c>
      <c r="AY104" s="4" t="n">
        <v>0.376699</v>
      </c>
      <c r="AZ104" s="5" t="n">
        <v>1</v>
      </c>
      <c r="BA104" s="5" t="n">
        <v>0.344191</v>
      </c>
      <c r="BB104" s="5" t="n">
        <v>0.382261</v>
      </c>
      <c r="BC104" s="5" t="n">
        <v>0.239737</v>
      </c>
      <c r="BD104" s="5" t="n">
        <v>1</v>
      </c>
      <c r="BE104" s="5" t="n">
        <v>1</v>
      </c>
      <c r="BF104" s="5" t="n">
        <v>0.3035828</v>
      </c>
      <c r="BG104" s="5" t="n">
        <f aca="false">BF104/(1-0.2)</f>
        <v>0.3794785</v>
      </c>
      <c r="BH104" s="5" t="n">
        <f aca="false">BF104/(1-0.25)</f>
        <v>0.404777066666667</v>
      </c>
      <c r="BI104" s="5" t="n">
        <v>0.3035828</v>
      </c>
      <c r="BJ104" s="5" t="n">
        <v>0.437722</v>
      </c>
      <c r="BK104" s="5" t="n">
        <v>0.430794</v>
      </c>
      <c r="BL104" s="5" t="n">
        <v>0.48192669</v>
      </c>
      <c r="BM104" s="5" t="n">
        <v>0.4530110886</v>
      </c>
    </row>
    <row r="105" customFormat="false" ht="15.75" hidden="false" customHeight="true" outlineLevel="0" collapsed="false">
      <c r="A105" s="2" t="n">
        <v>103</v>
      </c>
      <c r="B105" s="2" t="n">
        <v>0.66794008</v>
      </c>
      <c r="C105" s="4" t="n">
        <v>1</v>
      </c>
      <c r="D105" s="4" t="n">
        <v>0.69255992</v>
      </c>
      <c r="E105" s="4" t="n">
        <v>1</v>
      </c>
      <c r="F105" s="4" t="n">
        <v>0.60297368</v>
      </c>
      <c r="G105" s="4" t="n">
        <v>0.557750654</v>
      </c>
      <c r="H105" s="4" t="n">
        <v>1</v>
      </c>
      <c r="I105" s="4" t="n">
        <v>0.67423379</v>
      </c>
      <c r="J105" s="4" t="n">
        <v>0.6674914521</v>
      </c>
      <c r="K105" s="4" t="n">
        <v>0.674233793795911</v>
      </c>
      <c r="L105" s="5" t="n">
        <v>0.467243489454252</v>
      </c>
      <c r="M105" s="5" t="n">
        <f aca="false">L105/(1-0.19)</f>
        <v>0.576843814141052</v>
      </c>
      <c r="N105" s="5" t="n">
        <f aca="false">L105/(1-0.183)</f>
        <v>0.571901455880358</v>
      </c>
      <c r="O105" s="5" t="n">
        <v>0.689923350681036</v>
      </c>
      <c r="P105" s="5" t="n">
        <v>0.482249134782357</v>
      </c>
      <c r="Q105" s="5" t="n">
        <v>0.706755094612921</v>
      </c>
      <c r="R105" s="5" t="n">
        <v>0.689086217247598</v>
      </c>
      <c r="S105" s="4" t="n">
        <v>0.287334</v>
      </c>
      <c r="T105" s="4" t="n">
        <v>0.313391</v>
      </c>
      <c r="U105" s="4" t="n">
        <f aca="false">T105/(1-0.33)</f>
        <v>0.46774776119403</v>
      </c>
      <c r="V105" s="4" t="n">
        <v>0.566757</v>
      </c>
      <c r="W105" s="4" t="n">
        <v>0.52404</v>
      </c>
      <c r="X105" s="4" t="n">
        <v>0.439806</v>
      </c>
      <c r="Y105" s="4" t="n">
        <v>0.4178157</v>
      </c>
      <c r="Z105" s="4" t="n">
        <v>0.43678</v>
      </c>
      <c r="AA105" s="4" t="n">
        <v>0.4258605</v>
      </c>
      <c r="AB105" s="4" t="n">
        <v>0.342377</v>
      </c>
      <c r="AC105" s="4" t="n">
        <v>0.4062675254</v>
      </c>
      <c r="AD105" s="4" t="n">
        <f aca="false">AC105/(1-0.1)</f>
        <v>0.451408361555556</v>
      </c>
      <c r="AE105" s="4" t="n">
        <f aca="false">AC105/(1-0.15)</f>
        <v>0.477961794588235</v>
      </c>
      <c r="AF105" s="4" t="n">
        <f aca="false">AC105/(1-0.2)</f>
        <v>0.50783440675</v>
      </c>
      <c r="AG105" s="4" t="n">
        <f aca="false">AC105/(1-0.24)</f>
        <v>0.534562533421053</v>
      </c>
      <c r="AH105" s="4" t="n">
        <v>1</v>
      </c>
      <c r="AI105" s="4" t="n">
        <v>0.406205</v>
      </c>
      <c r="AJ105" s="4" t="n">
        <v>1</v>
      </c>
      <c r="AK105" s="4" t="n">
        <v>0.694427</v>
      </c>
      <c r="AL105" s="4" t="n">
        <v>0.33846</v>
      </c>
      <c r="AM105" s="4" t="n">
        <v>0.212481</v>
      </c>
      <c r="AN105" s="4" t="n">
        <v>0.446479</v>
      </c>
      <c r="AO105" s="4" t="n">
        <v>0.37504236</v>
      </c>
      <c r="AP105" s="4" t="n">
        <v>0.37057757</v>
      </c>
      <c r="AQ105" s="4" t="n">
        <v>0.36611278</v>
      </c>
      <c r="AR105" s="4" t="n">
        <v>0.36164799</v>
      </c>
      <c r="AS105" s="4" t="n">
        <v>0.359415595</v>
      </c>
      <c r="AT105" s="4" t="n">
        <v>0.3571832</v>
      </c>
      <c r="AU105" s="4" t="n">
        <v>1</v>
      </c>
      <c r="AV105" s="4" t="n">
        <v>0.38304</v>
      </c>
      <c r="AW105" s="4" t="n">
        <v>1</v>
      </c>
      <c r="AX105" s="4" t="n">
        <v>0.68147</v>
      </c>
      <c r="AY105" s="4" t="n">
        <v>0.396884</v>
      </c>
      <c r="AZ105" s="5" t="n">
        <v>1</v>
      </c>
      <c r="BA105" s="5" t="n">
        <v>0.364633</v>
      </c>
      <c r="BB105" s="5" t="n">
        <v>0.41071</v>
      </c>
      <c r="BC105" s="5" t="n">
        <v>0.262537</v>
      </c>
      <c r="BD105" s="5" t="n">
        <v>1</v>
      </c>
      <c r="BE105" s="5" t="n">
        <v>1</v>
      </c>
      <c r="BF105" s="5" t="n">
        <v>0.3282651</v>
      </c>
      <c r="BG105" s="5" t="n">
        <f aca="false">BF105/(1-0.2)</f>
        <v>0.410331375</v>
      </c>
      <c r="BH105" s="5" t="n">
        <f aca="false">BF105/(1-0.25)</f>
        <v>0.4376868</v>
      </c>
      <c r="BI105" s="5" t="n">
        <v>0.3282651</v>
      </c>
      <c r="BJ105" s="5" t="n">
        <v>0.4608</v>
      </c>
      <c r="BK105" s="5" t="n">
        <v>0.464356</v>
      </c>
      <c r="BL105" s="5" t="n">
        <v>0.51454984</v>
      </c>
      <c r="BM105" s="5" t="n">
        <v>0.4836768496</v>
      </c>
    </row>
    <row r="106" customFormat="false" ht="15.75" hidden="false" customHeight="true" outlineLevel="0" collapsed="false">
      <c r="A106" s="2" t="n">
        <v>104</v>
      </c>
      <c r="B106" s="2" t="n">
        <v>0.81722144</v>
      </c>
      <c r="C106" s="4" t="n">
        <v>1</v>
      </c>
      <c r="D106" s="4" t="n">
        <v>0.84329553</v>
      </c>
      <c r="E106" s="4" t="n">
        <v>1</v>
      </c>
      <c r="F106" s="4" t="n">
        <v>0.7417744</v>
      </c>
      <c r="G106" s="4" t="n">
        <v>0.68614132</v>
      </c>
      <c r="H106" s="4" t="n">
        <v>1</v>
      </c>
      <c r="I106" s="4" t="n">
        <v>0.82438199</v>
      </c>
      <c r="J106" s="4" t="n">
        <v>0.8161381701</v>
      </c>
      <c r="K106" s="4" t="n">
        <v>0.824381987457898</v>
      </c>
      <c r="L106" s="5" t="n">
        <v>0.567402736497933</v>
      </c>
      <c r="M106" s="5" t="n">
        <f aca="false">L106/(1-0.19)</f>
        <v>0.700497205553004</v>
      </c>
      <c r="N106" s="5" t="n">
        <f aca="false">L106/(1-0.183)</f>
        <v>0.694495393510322</v>
      </c>
      <c r="O106" s="5" t="n">
        <v>0.840862908178557</v>
      </c>
      <c r="P106" s="5" t="n">
        <v>0.587403135539948</v>
      </c>
      <c r="Q106" s="5" t="n">
        <v>0.857821383954979</v>
      </c>
      <c r="R106" s="5" t="n">
        <v>0.836375849356105</v>
      </c>
      <c r="S106" s="4" t="n">
        <v>0.314649</v>
      </c>
      <c r="T106" s="4" t="n">
        <v>0.34094</v>
      </c>
      <c r="U106" s="4" t="n">
        <f aca="false">T106/(1-0.33)</f>
        <v>0.508865671641791</v>
      </c>
      <c r="V106" s="4" t="n">
        <v>0.602714</v>
      </c>
      <c r="W106" s="4" t="n">
        <v>0.591116</v>
      </c>
      <c r="X106" s="4" t="n">
        <v>0.466881</v>
      </c>
      <c r="Y106" s="4" t="n">
        <v>0.44353695</v>
      </c>
      <c r="Z106" s="4" t="n">
        <v>0.474728</v>
      </c>
      <c r="AA106" s="4" t="n">
        <v>0.4628598</v>
      </c>
      <c r="AB106" s="4" t="n">
        <v>0.372086</v>
      </c>
      <c r="AC106" s="4" t="n">
        <v>0.4486313948</v>
      </c>
      <c r="AD106" s="4" t="n">
        <f aca="false">AC106/(1-0.1)</f>
        <v>0.498479327555556</v>
      </c>
      <c r="AE106" s="4" t="n">
        <f aca="false">AC106/(1-0.15)</f>
        <v>0.527801640941177</v>
      </c>
      <c r="AF106" s="4" t="n">
        <f aca="false">AC106/(1-0.2)</f>
        <v>0.5607892435</v>
      </c>
      <c r="AG106" s="4" t="n">
        <f aca="false">AC106/(1-0.24)</f>
        <v>0.590304466842105</v>
      </c>
      <c r="AH106" s="4" t="n">
        <v>1</v>
      </c>
      <c r="AI106" s="4" t="n">
        <v>0.441497</v>
      </c>
      <c r="AJ106" s="4" t="n">
        <v>1</v>
      </c>
      <c r="AK106" s="4" t="n">
        <v>0.733028</v>
      </c>
      <c r="AL106" s="4" t="n">
        <v>0.353712</v>
      </c>
      <c r="AM106" s="4" t="n">
        <v>0.226008</v>
      </c>
      <c r="AN106" s="4" t="n">
        <v>0.497094</v>
      </c>
      <c r="AO106" s="4" t="n">
        <v>0.41755896</v>
      </c>
      <c r="AP106" s="4" t="n">
        <v>0.41258802</v>
      </c>
      <c r="AQ106" s="4" t="n">
        <v>0.40761708</v>
      </c>
      <c r="AR106" s="4" t="n">
        <v>0.40264614</v>
      </c>
      <c r="AS106" s="4" t="n">
        <v>0.40016067</v>
      </c>
      <c r="AT106" s="4" t="n">
        <v>0.3976752</v>
      </c>
      <c r="AU106" s="4" t="n">
        <v>1</v>
      </c>
      <c r="AV106" s="4" t="n">
        <v>0.392003</v>
      </c>
      <c r="AW106" s="4" t="n">
        <v>1</v>
      </c>
      <c r="AX106" s="4" t="n">
        <v>0.71578</v>
      </c>
      <c r="AY106" s="4" t="n">
        <v>0.418855</v>
      </c>
      <c r="AZ106" s="5" t="n">
        <v>1</v>
      </c>
      <c r="BA106" s="5" t="n">
        <v>0.384783</v>
      </c>
      <c r="BB106" s="5" t="n">
        <v>0.440086</v>
      </c>
      <c r="BC106" s="5" t="n">
        <v>0.287859</v>
      </c>
      <c r="BD106" s="5" t="n">
        <v>1</v>
      </c>
      <c r="BE106" s="5" t="n">
        <v>1</v>
      </c>
      <c r="BF106" s="5" t="n">
        <v>0.3549543</v>
      </c>
      <c r="BG106" s="5" t="n">
        <f aca="false">BF106/(1-0.2)</f>
        <v>0.443692875</v>
      </c>
      <c r="BH106" s="5" t="n">
        <f aca="false">BF106/(1-0.25)</f>
        <v>0.4732724</v>
      </c>
      <c r="BI106" s="5" t="n">
        <v>0.3549543</v>
      </c>
      <c r="BJ106" s="5" t="n">
        <v>0.48384</v>
      </c>
      <c r="BK106" s="5" t="n">
        <v>0.499232</v>
      </c>
      <c r="BL106" s="5" t="n">
        <v>0.5480334</v>
      </c>
      <c r="BM106" s="5" t="n">
        <v>0.515151396</v>
      </c>
    </row>
    <row r="107" customFormat="false" ht="15.75" hidden="false" customHeight="true" outlineLevel="0" collapsed="false">
      <c r="A107" s="2" t="n">
        <v>105</v>
      </c>
      <c r="B107" s="2" t="n">
        <v>0.94716767</v>
      </c>
      <c r="C107" s="4" t="n">
        <v>1</v>
      </c>
      <c r="D107" s="4" t="n">
        <v>0.96204575</v>
      </c>
      <c r="E107" s="4" t="n">
        <v>1</v>
      </c>
      <c r="F107" s="4" t="n">
        <v>0.89029687</v>
      </c>
      <c r="G107" s="4" t="n">
        <v>0.82352460475</v>
      </c>
      <c r="H107" s="4" t="n">
        <v>1</v>
      </c>
      <c r="I107" s="4" t="n">
        <v>0.95154684</v>
      </c>
      <c r="J107" s="4" t="n">
        <v>0.9420313716</v>
      </c>
      <c r="K107" s="4" t="n">
        <v>0.951546843042278</v>
      </c>
      <c r="L107" s="5" t="n">
        <v>0.698452081038817</v>
      </c>
      <c r="M107" s="5" t="n">
        <f aca="false">L107/(1-0.19)</f>
        <v>0.862286519801008</v>
      </c>
      <c r="N107" s="5" t="n">
        <f aca="false">L107/(1-0.183)</f>
        <v>0.854898508003448</v>
      </c>
      <c r="O107" s="5" t="n">
        <v>0.960792866604172</v>
      </c>
      <c r="P107" s="5" t="n">
        <v>0.723505472891103</v>
      </c>
      <c r="Q107" s="5" t="n">
        <v>0.969247291225942</v>
      </c>
      <c r="R107" s="5" t="n">
        <v>0.945016108945293</v>
      </c>
      <c r="S107" s="4" t="n">
        <v>0.346177</v>
      </c>
      <c r="T107" s="4" t="n">
        <v>0.372398</v>
      </c>
      <c r="U107" s="4" t="n">
        <f aca="false">T107/(1-0.33)</f>
        <v>0.555817910447761</v>
      </c>
      <c r="V107" s="4" t="n">
        <v>0.638956</v>
      </c>
      <c r="W107" s="4" t="n">
        <v>0.670358</v>
      </c>
      <c r="X107" s="4" t="n">
        <v>0.495076</v>
      </c>
      <c r="Y107" s="4" t="n">
        <v>0.4703222</v>
      </c>
      <c r="Z107" s="4" t="n">
        <v>0.521701</v>
      </c>
      <c r="AA107" s="4" t="n">
        <v>0.508658475</v>
      </c>
      <c r="AB107" s="4" t="n">
        <v>0.405278</v>
      </c>
      <c r="AC107" s="4" t="n">
        <v>0.4951993429</v>
      </c>
      <c r="AD107" s="4" t="n">
        <f aca="false">AC107/(1-0.1)</f>
        <v>0.550221492111111</v>
      </c>
      <c r="AE107" s="4" t="n">
        <f aca="false">AC107/(1-0.15)</f>
        <v>0.582587462235294</v>
      </c>
      <c r="AF107" s="4" t="n">
        <f aca="false">AC107/(1-0.2)</f>
        <v>0.618999178625</v>
      </c>
      <c r="AG107" s="4" t="n">
        <f aca="false">AC107/(1-0.24)</f>
        <v>0.651578082763158</v>
      </c>
      <c r="AH107" s="4" t="n">
        <v>1</v>
      </c>
      <c r="AI107" s="4" t="n">
        <v>0.485182</v>
      </c>
      <c r="AJ107" s="4" t="n">
        <v>1</v>
      </c>
      <c r="AK107" s="4" t="n">
        <v>0.772005</v>
      </c>
      <c r="AL107" s="4" t="n">
        <v>0.369313</v>
      </c>
      <c r="AM107" s="4" t="n">
        <v>0.240062</v>
      </c>
      <c r="AN107" s="4" t="n">
        <v>0.557578</v>
      </c>
      <c r="AO107" s="4" t="n">
        <v>0.46836552</v>
      </c>
      <c r="AP107" s="4" t="n">
        <v>0.46278974</v>
      </c>
      <c r="AQ107" s="4" t="n">
        <v>0.45721396</v>
      </c>
      <c r="AR107" s="4" t="n">
        <v>0.45163818</v>
      </c>
      <c r="AS107" s="4" t="n">
        <v>0.44885029</v>
      </c>
      <c r="AT107" s="4" t="n">
        <v>0.4460624</v>
      </c>
      <c r="AU107" s="4" t="n">
        <v>1</v>
      </c>
      <c r="AV107" s="4" t="n">
        <v>0.397886</v>
      </c>
      <c r="AW107" s="4" t="n">
        <v>1</v>
      </c>
      <c r="AX107" s="4" t="n">
        <v>0.74927</v>
      </c>
      <c r="AY107" s="4" t="n">
        <v>0.440585</v>
      </c>
      <c r="AZ107" s="5" t="n">
        <v>1</v>
      </c>
      <c r="BA107" s="5" t="n">
        <v>0.4</v>
      </c>
      <c r="BB107" s="5" t="n">
        <v>1</v>
      </c>
      <c r="BC107" s="5" t="n">
        <v>1</v>
      </c>
      <c r="BD107" s="5" t="n">
        <v>1</v>
      </c>
      <c r="BE107" s="5" t="n">
        <v>1</v>
      </c>
      <c r="BF107" s="5" t="n">
        <v>0.3838133</v>
      </c>
      <c r="BG107" s="5" t="n">
        <f aca="false">BF107/(1-0.2)</f>
        <v>0.479766625</v>
      </c>
      <c r="BH107" s="5" t="n">
        <f aca="false">BF107/(1-0.25)</f>
        <v>0.511751066666667</v>
      </c>
      <c r="BI107" s="5" t="n">
        <v>0.3838133</v>
      </c>
      <c r="BJ107" s="5" t="n">
        <v>0.508032</v>
      </c>
      <c r="BK107" s="5" t="n">
        <v>0.535225</v>
      </c>
      <c r="BL107" s="5" t="n">
        <v>0.58216924</v>
      </c>
      <c r="BM107" s="5" t="n">
        <v>0.5472390856</v>
      </c>
    </row>
    <row r="108" customFormat="false" ht="15.75" hidden="false" customHeight="true" outlineLevel="0" collapsed="false">
      <c r="A108" s="2" t="n">
        <v>106</v>
      </c>
      <c r="B108" s="2" t="n">
        <v>0.99634548</v>
      </c>
      <c r="C108" s="4" t="n">
        <v>1</v>
      </c>
      <c r="D108" s="4" t="n">
        <v>0.99818973</v>
      </c>
      <c r="E108" s="4" t="n">
        <v>1</v>
      </c>
      <c r="F108" s="4" t="n">
        <v>0.98242761</v>
      </c>
      <c r="G108" s="4" t="n">
        <v>0.90874553925</v>
      </c>
      <c r="H108" s="4" t="n">
        <v>1</v>
      </c>
      <c r="I108" s="4" t="n">
        <v>0.9969611</v>
      </c>
      <c r="J108" s="4" t="n">
        <v>0.986991489</v>
      </c>
      <c r="K108" s="4" t="n">
        <v>0.996961101062285</v>
      </c>
      <c r="L108" s="5" t="n">
        <v>0.849572298385691</v>
      </c>
      <c r="M108" s="5" t="n">
        <f aca="false">L108/(1-0.19)</f>
        <v>1.04885468936505</v>
      </c>
      <c r="N108" s="5" t="n">
        <f aca="false">L108/(1-0.183)</f>
        <v>1.03986817427869</v>
      </c>
      <c r="O108" s="5" t="n">
        <v>0.998061133014154</v>
      </c>
      <c r="P108" s="5" t="n">
        <v>0.873921506419019</v>
      </c>
      <c r="Q108" s="5" t="n">
        <v>0.99883882171193</v>
      </c>
      <c r="R108" s="5" t="n">
        <v>0.973867851169132</v>
      </c>
      <c r="S108" s="4" t="n">
        <v>0.382403</v>
      </c>
      <c r="T108" s="4" t="n">
        <v>0.40821</v>
      </c>
      <c r="U108" s="4" t="n">
        <f aca="false">T108/(1-0.33)</f>
        <v>0.609268656716418</v>
      </c>
      <c r="V108" s="4" t="n">
        <v>0.675143</v>
      </c>
      <c r="W108" s="4" t="n">
        <v>0.775525</v>
      </c>
      <c r="X108" s="4" t="n">
        <v>0.524406</v>
      </c>
      <c r="Y108" s="4" t="n">
        <v>0.4981857</v>
      </c>
      <c r="Z108" s="4" t="n">
        <v>0.579939</v>
      </c>
      <c r="AA108" s="4" t="n">
        <v>0.565440525</v>
      </c>
      <c r="AB108" s="4" t="n">
        <v>0.442277</v>
      </c>
      <c r="AC108" s="4" t="n">
        <v>0.5461625216</v>
      </c>
      <c r="AD108" s="4" t="n">
        <f aca="false">AC108/(1-0.1)</f>
        <v>0.606847246222222</v>
      </c>
      <c r="AE108" s="4" t="n">
        <f aca="false">AC108/(1-0.15)</f>
        <v>0.642544143058824</v>
      </c>
      <c r="AF108" s="4" t="n">
        <f aca="false">AC108/(1-0.2)</f>
        <v>0.682703152</v>
      </c>
      <c r="AG108" s="4" t="n">
        <f aca="false">AC108/(1-0.24)</f>
        <v>0.718634896842105</v>
      </c>
      <c r="AH108" s="4" t="n">
        <v>1</v>
      </c>
      <c r="AI108" s="4" t="n">
        <v>0.539343</v>
      </c>
      <c r="AJ108" s="4" t="n">
        <v>1</v>
      </c>
      <c r="AK108" s="4" t="n">
        <v>1</v>
      </c>
      <c r="AL108" s="4" t="n">
        <v>0.385264</v>
      </c>
      <c r="AM108" s="4" t="n">
        <v>0.254644</v>
      </c>
      <c r="AN108" s="4" t="n">
        <v>0.630737</v>
      </c>
      <c r="AO108" s="4" t="n">
        <v>0.52981908</v>
      </c>
      <c r="AP108" s="4" t="n">
        <v>0.52351171</v>
      </c>
      <c r="AQ108" s="4" t="n">
        <v>0.51720434</v>
      </c>
      <c r="AR108" s="4" t="n">
        <v>0.51089697</v>
      </c>
      <c r="AS108" s="4" t="n">
        <v>0.507743285</v>
      </c>
      <c r="AT108" s="4" t="n">
        <v>0.5045896</v>
      </c>
      <c r="AU108" s="4" t="n">
        <v>1</v>
      </c>
      <c r="AV108" s="4" t="n">
        <v>0.4</v>
      </c>
      <c r="AW108" s="4" t="n">
        <v>1</v>
      </c>
      <c r="AX108" s="4" t="n">
        <v>1</v>
      </c>
      <c r="AY108" s="4" t="n">
        <v>0.460043</v>
      </c>
      <c r="AZ108" s="5" t="n">
        <v>1</v>
      </c>
      <c r="BA108" s="5" t="n">
        <v>0.4</v>
      </c>
      <c r="BB108" s="5" t="n">
        <v>1</v>
      </c>
      <c r="BC108" s="5" t="n">
        <v>1</v>
      </c>
      <c r="BD108" s="5" t="n">
        <v>1</v>
      </c>
      <c r="BE108" s="5" t="n">
        <v>1</v>
      </c>
      <c r="BF108" s="5" t="n">
        <v>0.4150187</v>
      </c>
      <c r="BG108" s="5" t="n">
        <f aca="false">BF108/(1-0.2)</f>
        <v>0.518773375</v>
      </c>
      <c r="BH108" s="5" t="n">
        <f aca="false">BF108/(1-0.25)</f>
        <v>0.553358266666667</v>
      </c>
      <c r="BI108" s="5" t="n">
        <v>0.4150187</v>
      </c>
      <c r="BJ108" s="5" t="n">
        <v>0.533434</v>
      </c>
      <c r="BK108" s="5" t="n">
        <v>0.572088</v>
      </c>
      <c r="BL108" s="5" t="n">
        <v>0.6167134</v>
      </c>
      <c r="BM108" s="5" t="n">
        <v>0.579710596</v>
      </c>
    </row>
    <row r="109" customFormat="false" ht="15.75" hidden="false" customHeight="true" outlineLevel="0" collapsed="false">
      <c r="A109" s="2" t="n">
        <v>107</v>
      </c>
      <c r="B109" s="2" t="n">
        <v>0.99998571</v>
      </c>
      <c r="C109" s="4" t="n">
        <v>1</v>
      </c>
      <c r="D109" s="4" t="n">
        <v>0.99999657</v>
      </c>
      <c r="E109" s="4" t="n">
        <v>1</v>
      </c>
      <c r="F109" s="4" t="n">
        <v>0.99963985</v>
      </c>
      <c r="G109" s="4" t="n">
        <v>0.92466686125</v>
      </c>
      <c r="H109" s="4" t="n">
        <v>1</v>
      </c>
      <c r="I109" s="4" t="n">
        <v>0.99999018</v>
      </c>
      <c r="J109" s="4" t="n">
        <v>0.9899902782</v>
      </c>
      <c r="K109" s="4" t="n">
        <v>0.999990178980847</v>
      </c>
      <c r="L109" s="5" t="n">
        <v>0.96527113573311</v>
      </c>
      <c r="M109" s="5" t="n">
        <f aca="false">L109/(1-0.19)</f>
        <v>1.19169276016433</v>
      </c>
      <c r="N109" s="5" t="n">
        <f aca="false">L109/(1-0.183)</f>
        <v>1.18148241827798</v>
      </c>
      <c r="O109" s="5" t="n">
        <v>0.99999605327391</v>
      </c>
      <c r="P109" s="5" t="n">
        <v>0.976278110123611</v>
      </c>
      <c r="Q109" s="5" t="n">
        <v>0.999998600444919</v>
      </c>
      <c r="R109" s="5" t="n">
        <v>0.974998635433796</v>
      </c>
      <c r="S109" s="4" t="n">
        <v>0.423813</v>
      </c>
      <c r="T109" s="4" t="n">
        <v>0.448823</v>
      </c>
      <c r="U109" s="4" t="n">
        <f aca="false">T109/(1-0.33)</f>
        <v>0.669885074626866</v>
      </c>
      <c r="V109" s="4" t="n">
        <v>0.710898</v>
      </c>
      <c r="W109" s="4" t="n">
        <v>0.833333</v>
      </c>
      <c r="X109" s="4" t="n">
        <v>0.554886</v>
      </c>
      <c r="Y109" s="4" t="n">
        <v>0.5271417</v>
      </c>
      <c r="Z109" s="4" t="n">
        <v>0.651687</v>
      </c>
      <c r="AA109" s="4" t="n">
        <v>0.635394825</v>
      </c>
      <c r="AB109" s="4" t="n">
        <v>0.483406</v>
      </c>
      <c r="AC109" s="4" t="n">
        <v>0.6016906041</v>
      </c>
      <c r="AD109" s="4" t="n">
        <f aca="false">AC109/(1-0.1)</f>
        <v>0.668545115666667</v>
      </c>
      <c r="AE109" s="4" t="n">
        <f aca="false">AC109/(1-0.15)</f>
        <v>0.707871298941177</v>
      </c>
      <c r="AF109" s="4" t="n">
        <f aca="false">AC109/(1-0.2)</f>
        <v>0.752113255125</v>
      </c>
      <c r="AG109" s="4" t="n">
        <f aca="false">AC109/(1-0.24)</f>
        <v>0.791698163289474</v>
      </c>
      <c r="AH109" s="4" t="n">
        <v>1</v>
      </c>
      <c r="AI109" s="4" t="n">
        <v>0.606069</v>
      </c>
      <c r="AJ109" s="4" t="n">
        <v>1</v>
      </c>
      <c r="AK109" s="4" t="n">
        <v>1</v>
      </c>
      <c r="AL109" s="4" t="n">
        <v>0.401566</v>
      </c>
      <c r="AM109" s="4" t="n">
        <v>0.269753</v>
      </c>
      <c r="AN109" s="4" t="n">
        <v>0.722942</v>
      </c>
      <c r="AO109" s="4" t="n">
        <v>0.60727128</v>
      </c>
      <c r="AP109" s="4" t="n">
        <v>0.60004186</v>
      </c>
      <c r="AQ109" s="4" t="n">
        <v>0.59281244</v>
      </c>
      <c r="AR109" s="4" t="n">
        <v>0.58558302</v>
      </c>
      <c r="AS109" s="4" t="n">
        <v>0.58196831</v>
      </c>
      <c r="AT109" s="4" t="n">
        <v>0.5783536</v>
      </c>
      <c r="AU109" s="4" t="n">
        <v>1</v>
      </c>
      <c r="AV109" s="4" t="n">
        <v>0.4</v>
      </c>
      <c r="AW109" s="4" t="n">
        <v>1</v>
      </c>
      <c r="AX109" s="4" t="n">
        <v>1</v>
      </c>
      <c r="AY109" s="4" t="n">
        <v>0.4752</v>
      </c>
      <c r="AZ109" s="5" t="n">
        <v>1</v>
      </c>
      <c r="BA109" s="5" t="n">
        <v>0.4</v>
      </c>
      <c r="BB109" s="5" t="n">
        <v>1</v>
      </c>
      <c r="BC109" s="5" t="n">
        <v>1</v>
      </c>
      <c r="BD109" s="5" t="n">
        <v>1</v>
      </c>
      <c r="BE109" s="5" t="n">
        <v>1</v>
      </c>
      <c r="BF109" s="5" t="n">
        <v>0.4487611</v>
      </c>
      <c r="BG109" s="5" t="n">
        <f aca="false">BF109/(1-0.2)</f>
        <v>0.560951375</v>
      </c>
      <c r="BH109" s="5" t="n">
        <f aca="false">BF109/(1-0.25)</f>
        <v>0.598348133333333</v>
      </c>
      <c r="BI109" s="5" t="n">
        <v>0.4487611</v>
      </c>
      <c r="BJ109" s="5" t="n">
        <v>0.560105</v>
      </c>
      <c r="BK109" s="5" t="n">
        <v>0.609524</v>
      </c>
      <c r="BL109" s="5" t="n">
        <v>0.65138755</v>
      </c>
      <c r="BM109" s="5" t="n">
        <v>0.612304297</v>
      </c>
    </row>
    <row r="110" customFormat="false" ht="15.75" hidden="false" customHeight="true" outlineLevel="0" collapsed="false">
      <c r="A110" s="2" t="n">
        <v>108</v>
      </c>
      <c r="B110" s="2" t="n">
        <v>1</v>
      </c>
      <c r="C110" s="4" t="n">
        <v>1</v>
      </c>
      <c r="D110" s="4" t="n">
        <v>1</v>
      </c>
      <c r="E110" s="4" t="n">
        <v>1</v>
      </c>
      <c r="F110" s="4" t="n">
        <v>0.99999987</v>
      </c>
      <c r="G110" s="4" t="n">
        <v>0.92499987975</v>
      </c>
      <c r="H110" s="4" t="n">
        <v>1</v>
      </c>
      <c r="I110" s="4" t="n">
        <v>1</v>
      </c>
      <c r="J110" s="4" t="n">
        <v>0.99</v>
      </c>
      <c r="K110" s="4" t="n">
        <v>0.999999999903236</v>
      </c>
      <c r="L110" s="5" t="n">
        <v>0.99849962439345</v>
      </c>
      <c r="M110" s="5" t="n">
        <f aca="false">L110/(1-0.19)</f>
        <v>1.23271558567093</v>
      </c>
      <c r="N110" s="5" t="n">
        <f aca="false">L110/(1-0.183)</f>
        <v>1.22215376302748</v>
      </c>
      <c r="O110" s="5" t="n">
        <v>0.999999999984392</v>
      </c>
      <c r="P110" s="5" t="n">
        <v>0.999326534020257</v>
      </c>
      <c r="Q110" s="5" t="n">
        <v>1</v>
      </c>
      <c r="R110" s="5" t="n">
        <v>0.975</v>
      </c>
      <c r="S110" s="4" t="n">
        <v>0.470893</v>
      </c>
      <c r="T110" s="4" t="n">
        <v>0.494681</v>
      </c>
      <c r="U110" s="4" t="n">
        <f aca="false">T110/(1-0.33)</f>
        <v>0.738329850746269</v>
      </c>
      <c r="V110" s="4" t="n">
        <v>0.745822</v>
      </c>
      <c r="W110" s="4" t="n">
        <v>1</v>
      </c>
      <c r="X110" s="4" t="n">
        <v>0.587554</v>
      </c>
      <c r="Y110" s="4" t="n">
        <v>0.5581763</v>
      </c>
      <c r="Z110" s="4" t="n">
        <v>0.739187</v>
      </c>
      <c r="AA110" s="4" t="n">
        <v>0.720707325</v>
      </c>
      <c r="AB110" s="4" t="n">
        <v>0.528989</v>
      </c>
      <c r="AC110" s="4" t="n">
        <v>0.6615649727</v>
      </c>
      <c r="AD110" s="4" t="n">
        <f aca="false">AC110/(1-0.1)</f>
        <v>0.735072191888889</v>
      </c>
      <c r="AE110" s="4" t="n">
        <f aca="false">AC110/(1-0.15)</f>
        <v>0.778311732588235</v>
      </c>
      <c r="AF110" s="4" t="n">
        <f aca="false">AC110/(1-0.2)</f>
        <v>0.826956215875</v>
      </c>
      <c r="AG110" s="4" t="n">
        <f aca="false">AC110/(1-0.24)</f>
        <v>0.870480227236842</v>
      </c>
      <c r="AH110" s="4" t="n">
        <v>1</v>
      </c>
      <c r="AI110" s="4" t="n">
        <v>0.687444</v>
      </c>
      <c r="AJ110" s="4" t="n">
        <v>1</v>
      </c>
      <c r="AK110" s="4" t="n">
        <v>1</v>
      </c>
      <c r="AL110" s="4" t="n">
        <v>0.418216</v>
      </c>
      <c r="AM110" s="4" t="n">
        <v>0.285391</v>
      </c>
      <c r="AN110" s="4" t="n">
        <v>0.804429</v>
      </c>
      <c r="AO110" s="4" t="n">
        <v>0.67572036</v>
      </c>
      <c r="AP110" s="4" t="n">
        <v>0.66767607</v>
      </c>
      <c r="AQ110" s="4" t="n">
        <v>0.65963178</v>
      </c>
      <c r="AR110" s="4" t="n">
        <v>0.65158749</v>
      </c>
      <c r="AS110" s="4" t="n">
        <v>0.647565345</v>
      </c>
      <c r="AT110" s="4" t="n">
        <v>0.6435432</v>
      </c>
      <c r="AU110" s="4" t="n">
        <v>1</v>
      </c>
      <c r="AV110" s="4" t="n">
        <v>0.4</v>
      </c>
      <c r="AW110" s="4" t="n">
        <v>1</v>
      </c>
      <c r="AX110" s="4" t="n">
        <v>1</v>
      </c>
      <c r="AY110" s="4" t="n">
        <v>0.48567</v>
      </c>
      <c r="AZ110" s="5" t="n">
        <v>1</v>
      </c>
      <c r="BA110" s="5" t="n">
        <v>0.4</v>
      </c>
      <c r="BB110" s="5" t="n">
        <v>1</v>
      </c>
      <c r="BC110" s="5" t="n">
        <v>1</v>
      </c>
      <c r="BD110" s="5" t="n">
        <v>1</v>
      </c>
      <c r="BE110" s="5" t="n">
        <v>1</v>
      </c>
      <c r="BF110" s="5" t="n">
        <v>0.485247</v>
      </c>
      <c r="BG110" s="5" t="n">
        <f aca="false">BF110/(1-0.2)</f>
        <v>0.60655875</v>
      </c>
      <c r="BH110" s="5" t="n">
        <f aca="false">BF110/(1-0.25)</f>
        <v>0.646996</v>
      </c>
      <c r="BI110" s="5" t="n">
        <v>0.485247</v>
      </c>
      <c r="BJ110" s="5" t="n">
        <v>0.588111</v>
      </c>
      <c r="BK110" s="5" t="n">
        <v>0.647186</v>
      </c>
      <c r="BL110" s="5" t="n">
        <v>1</v>
      </c>
      <c r="BM110" s="5" t="n">
        <v>0.94</v>
      </c>
    </row>
    <row r="111" customFormat="false" ht="15.75" hidden="false" customHeight="true" outlineLevel="0" collapsed="false">
      <c r="A111" s="2" t="n">
        <v>109</v>
      </c>
      <c r="B111" s="2" t="n">
        <v>1</v>
      </c>
      <c r="C111" s="4" t="n">
        <v>1</v>
      </c>
      <c r="D111" s="4" t="n">
        <v>1</v>
      </c>
      <c r="E111" s="4" t="n">
        <v>1</v>
      </c>
      <c r="F111" s="4" t="n">
        <v>1</v>
      </c>
      <c r="G111" s="4" t="n">
        <v>0.925</v>
      </c>
      <c r="H111" s="4" t="n">
        <v>1</v>
      </c>
      <c r="I111" s="4" t="n">
        <v>1</v>
      </c>
      <c r="J111" s="4" t="n">
        <v>0.99</v>
      </c>
      <c r="K111" s="4" t="n">
        <v>1</v>
      </c>
      <c r="L111" s="5" t="n">
        <v>0.999997650910909</v>
      </c>
      <c r="M111" s="5" t="n">
        <f aca="false">L111/(1-0.19)</f>
        <v>1.23456500112458</v>
      </c>
      <c r="N111" s="5" t="n">
        <f aca="false">L111/(1-0.183)</f>
        <v>1.22398733281629</v>
      </c>
      <c r="O111" s="5" t="n">
        <v>1</v>
      </c>
      <c r="P111" s="5" t="n">
        <v>0.999999533514174</v>
      </c>
      <c r="Q111" s="5" t="n">
        <v>1</v>
      </c>
      <c r="R111" s="5" t="n">
        <v>0.975</v>
      </c>
      <c r="S111" s="4" t="n">
        <v>0.524128</v>
      </c>
      <c r="T111" s="4" t="n">
        <v>0.546231</v>
      </c>
      <c r="U111" s="4" t="n">
        <f aca="false">T111/(1-0.33)</f>
        <v>0.815270149253731</v>
      </c>
      <c r="V111" s="4" t="n">
        <v>1</v>
      </c>
      <c r="W111" s="4" t="n">
        <v>1</v>
      </c>
      <c r="X111" s="4" t="n">
        <v>0.624586</v>
      </c>
      <c r="Y111" s="4" t="n">
        <v>0.5933567</v>
      </c>
      <c r="Z111" s="4" t="n">
        <v>0.844683</v>
      </c>
      <c r="AA111" s="4" t="n">
        <v>0.823565925</v>
      </c>
      <c r="AB111" s="4" t="n">
        <v>0.579351</v>
      </c>
      <c r="AC111" s="4" t="n">
        <v>0.7250264216</v>
      </c>
      <c r="AD111" s="4" t="n">
        <f aca="false">AC111/(1-0.1)</f>
        <v>0.805584912888889</v>
      </c>
      <c r="AE111" s="4" t="n">
        <f aca="false">AC111/(1-0.15)</f>
        <v>0.852972260705882</v>
      </c>
      <c r="AF111" s="4" t="n">
        <f aca="false">AC111/(1-0.2)</f>
        <v>0.906283027</v>
      </c>
      <c r="AG111" s="4" t="n">
        <f aca="false">AC111/(1-0.24)</f>
        <v>0.953982133684211</v>
      </c>
      <c r="AH111" s="4" t="n">
        <v>1</v>
      </c>
      <c r="AI111" s="4" t="n">
        <v>0.785555</v>
      </c>
      <c r="AJ111" s="4" t="n">
        <v>1</v>
      </c>
      <c r="AK111" s="4" t="n">
        <v>1</v>
      </c>
      <c r="AL111" s="4" t="n">
        <v>0.435217</v>
      </c>
      <c r="AM111" s="4" t="n">
        <v>0.301557</v>
      </c>
      <c r="AN111" s="4" t="n">
        <v>0.916667</v>
      </c>
      <c r="AO111" s="4" t="n">
        <v>0.77000028</v>
      </c>
      <c r="AP111" s="4" t="n">
        <v>0.76083361</v>
      </c>
      <c r="AQ111" s="4" t="n">
        <v>0.75166694</v>
      </c>
      <c r="AR111" s="4" t="n">
        <v>0.74250027</v>
      </c>
      <c r="AS111" s="4" t="n">
        <v>0.737916935</v>
      </c>
      <c r="AT111" s="4" t="n">
        <v>0.7333336</v>
      </c>
      <c r="AU111" s="4" t="n">
        <v>1</v>
      </c>
      <c r="AV111" s="4" t="n">
        <v>0.4</v>
      </c>
      <c r="AW111" s="4" t="n">
        <v>1</v>
      </c>
      <c r="AX111" s="4" t="n">
        <v>1</v>
      </c>
      <c r="AY111" s="4" t="n">
        <v>0.492807</v>
      </c>
      <c r="AZ111" s="5" t="n">
        <v>1</v>
      </c>
      <c r="BA111" s="5" t="n">
        <v>0.4</v>
      </c>
      <c r="BB111" s="5" t="n">
        <v>1</v>
      </c>
      <c r="BC111" s="5" t="n">
        <v>1</v>
      </c>
      <c r="BD111" s="5" t="n">
        <v>1</v>
      </c>
      <c r="BE111" s="5" t="n">
        <v>1</v>
      </c>
      <c r="BF111" s="5" t="n">
        <v>0.5246993</v>
      </c>
      <c r="BG111" s="5" t="n">
        <f aca="false">BF111/(1-0.2)</f>
        <v>0.655874125</v>
      </c>
      <c r="BH111" s="5" t="n">
        <f aca="false">BF111/(1-0.25)</f>
        <v>0.699599066666667</v>
      </c>
      <c r="BI111" s="5" t="n">
        <v>0.5246993</v>
      </c>
      <c r="BJ111" s="5" t="n">
        <v>0.617516</v>
      </c>
      <c r="BK111" s="5" t="n">
        <v>0.684684</v>
      </c>
      <c r="BL111" s="5" t="n">
        <v>1</v>
      </c>
      <c r="BM111" s="5" t="n">
        <v>0.94</v>
      </c>
    </row>
    <row r="112" customFormat="false" ht="15.75" hidden="false" customHeight="true" outlineLevel="0" collapsed="false">
      <c r="A112" s="2" t="n">
        <v>110</v>
      </c>
      <c r="B112" s="2" t="n">
        <v>1</v>
      </c>
      <c r="C112" s="4" t="n">
        <v>1</v>
      </c>
      <c r="D112" s="4" t="n">
        <v>1</v>
      </c>
      <c r="E112" s="4" t="n">
        <v>1</v>
      </c>
      <c r="F112" s="4" t="n">
        <v>1</v>
      </c>
      <c r="G112" s="4" t="n">
        <v>0.925</v>
      </c>
      <c r="H112" s="4" t="n">
        <v>1</v>
      </c>
      <c r="I112" s="4" t="n">
        <v>1</v>
      </c>
      <c r="J112" s="4" t="n">
        <v>0.99</v>
      </c>
      <c r="K112" s="4" t="n">
        <v>1</v>
      </c>
      <c r="L112" s="5" t="n">
        <v>0.999999999994473</v>
      </c>
      <c r="M112" s="5" t="n">
        <f aca="false">L112/(1-0.19)</f>
        <v>1.23456790122774</v>
      </c>
      <c r="N112" s="5" t="n">
        <f aca="false">L112/(1-0.183)</f>
        <v>1.22399020807157</v>
      </c>
      <c r="O112" s="5" t="n">
        <v>1</v>
      </c>
      <c r="P112" s="5" t="n">
        <v>1</v>
      </c>
      <c r="Q112" s="5" t="n">
        <v>1</v>
      </c>
      <c r="R112" s="5" t="n">
        <v>0.975</v>
      </c>
      <c r="S112" s="4" t="n">
        <v>0.584004</v>
      </c>
      <c r="T112" s="4" t="n">
        <v>0.603917</v>
      </c>
      <c r="U112" s="4" t="n">
        <f aca="false">T112/(1-0.33)</f>
        <v>0.901368656716418</v>
      </c>
      <c r="V112" s="4" t="n">
        <v>1</v>
      </c>
      <c r="W112" s="4" t="n">
        <v>1</v>
      </c>
      <c r="X112" s="4" t="n">
        <v>0.670361</v>
      </c>
      <c r="Y112" s="4" t="n">
        <v>0.63684295</v>
      </c>
      <c r="Z112" s="4" t="n">
        <v>1</v>
      </c>
      <c r="AA112" s="4" t="n">
        <v>0.975</v>
      </c>
      <c r="AB112" s="4" t="n">
        <v>0.634814</v>
      </c>
      <c r="AC112" s="4" t="n">
        <v>0.7905941252</v>
      </c>
      <c r="AD112" s="4" t="n">
        <f aca="false">AC112/(1-0.1)</f>
        <v>0.878437916888889</v>
      </c>
      <c r="AE112" s="4" t="n">
        <f aca="false">AC112/(1-0.15)</f>
        <v>0.930110735529412</v>
      </c>
      <c r="AF112" s="4" t="n">
        <f aca="false">AC112/(1-0.2)</f>
        <v>0.9882426565</v>
      </c>
      <c r="AG112" s="4" t="n">
        <f aca="false">AC112/(1-0.24)</f>
        <v>1.04025542789474</v>
      </c>
      <c r="AH112" s="4" t="n">
        <v>1</v>
      </c>
      <c r="AI112" s="4" t="n">
        <v>1</v>
      </c>
      <c r="AJ112" s="4" t="n">
        <v>1</v>
      </c>
      <c r="AK112" s="4" t="n">
        <v>1</v>
      </c>
      <c r="AL112" s="4" t="n">
        <v>0.452567</v>
      </c>
      <c r="AM112" s="4" t="n">
        <v>0.31825</v>
      </c>
      <c r="AN112" s="4" t="n">
        <v>1</v>
      </c>
      <c r="AO112" s="4" t="n">
        <v>0.84</v>
      </c>
      <c r="AP112" s="4" t="n">
        <v>0.83</v>
      </c>
      <c r="AQ112" s="4" t="n">
        <v>0.82</v>
      </c>
      <c r="AR112" s="4" t="n">
        <v>0.81</v>
      </c>
      <c r="AS112" s="4" t="n">
        <v>0.805</v>
      </c>
      <c r="AT112" s="4" t="n">
        <v>0.8</v>
      </c>
      <c r="AU112" s="4" t="n">
        <v>1</v>
      </c>
      <c r="AV112" s="4" t="n">
        <v>0.4</v>
      </c>
      <c r="AW112" s="4" t="n">
        <v>1</v>
      </c>
      <c r="AX112" s="4" t="n">
        <v>1</v>
      </c>
      <c r="AY112" s="4" t="n">
        <v>0.497189</v>
      </c>
      <c r="AZ112" s="5" t="n">
        <v>1</v>
      </c>
      <c r="BA112" s="5" t="n">
        <v>0.4</v>
      </c>
      <c r="BB112" s="5" t="n">
        <v>1</v>
      </c>
      <c r="BC112" s="5" t="n">
        <v>1</v>
      </c>
      <c r="BD112" s="5" t="n">
        <v>1</v>
      </c>
      <c r="BE112" s="5" t="n">
        <v>1</v>
      </c>
      <c r="BF112" s="5" t="n">
        <v>0.5673592</v>
      </c>
      <c r="BG112" s="5" t="n">
        <f aca="false">BF112/(1-0.2)</f>
        <v>0.709199</v>
      </c>
      <c r="BH112" s="5" t="n">
        <f aca="false">BF112/(1-0.25)</f>
        <v>0.756478933333333</v>
      </c>
      <c r="BI112" s="5" t="n">
        <v>0.5673592</v>
      </c>
      <c r="BJ112" s="5" t="n">
        <v>0.648392</v>
      </c>
      <c r="BK112" s="5" t="n">
        <v>0.721592</v>
      </c>
      <c r="BL112" s="5" t="n">
        <v>1</v>
      </c>
      <c r="BM112" s="5" t="n">
        <v>0.94</v>
      </c>
    </row>
    <row r="113" customFormat="false" ht="15.75" hidden="false" customHeight="true" outlineLevel="0" collapsed="false">
      <c r="A113" s="2" t="n">
        <v>111</v>
      </c>
      <c r="B113" s="2" t="n">
        <v>1</v>
      </c>
      <c r="C113" s="4" t="n">
        <v>1</v>
      </c>
      <c r="D113" s="4" t="n">
        <v>1</v>
      </c>
      <c r="E113" s="4" t="n">
        <v>1</v>
      </c>
      <c r="F113" s="4" t="n">
        <v>1</v>
      </c>
      <c r="G113" s="4" t="n">
        <v>0.925</v>
      </c>
      <c r="H113" s="4" t="n">
        <v>1</v>
      </c>
      <c r="I113" s="4" t="n">
        <v>1</v>
      </c>
      <c r="J113" s="4" t="n">
        <v>0.99</v>
      </c>
      <c r="K113" s="4" t="n">
        <v>1</v>
      </c>
      <c r="L113" s="5" t="n">
        <v>1</v>
      </c>
      <c r="M113" s="5" t="n">
        <f aca="false">L113/(1-0.19)</f>
        <v>1.23456790123457</v>
      </c>
      <c r="N113" s="5" t="n">
        <f aca="false">L113/(1-0.183)</f>
        <v>1.22399020807834</v>
      </c>
      <c r="O113" s="5" t="n">
        <v>1</v>
      </c>
      <c r="P113" s="5" t="n">
        <v>1</v>
      </c>
      <c r="Q113" s="5" t="n">
        <v>1</v>
      </c>
      <c r="R113" s="5" t="n">
        <v>0.975</v>
      </c>
      <c r="S113" s="4" t="n">
        <v>0.651007</v>
      </c>
      <c r="T113" s="4" t="n">
        <v>0.668186</v>
      </c>
      <c r="U113" s="4" t="n">
        <f aca="false">T113/(1-0.33)</f>
        <v>0.997292537313433</v>
      </c>
      <c r="V113" s="4" t="n">
        <v>1</v>
      </c>
      <c r="W113" s="4" t="n">
        <v>1</v>
      </c>
      <c r="X113" s="4" t="n">
        <v>0.733619</v>
      </c>
      <c r="Y113" s="4" t="n">
        <v>0.69693805</v>
      </c>
      <c r="Z113" s="4" t="n">
        <v>1</v>
      </c>
      <c r="AA113" s="4" t="n">
        <v>0.975</v>
      </c>
      <c r="AB113" s="4" t="n">
        <v>0.695704</v>
      </c>
      <c r="AC113" s="4" t="n">
        <v>0.855635952</v>
      </c>
      <c r="AD113" s="4" t="n">
        <f aca="false">AC113/(1-0.1)</f>
        <v>0.950706613333333</v>
      </c>
      <c r="AE113" s="4" t="n">
        <f aca="false">AC113/(1-0.15)</f>
        <v>1.00663053176471</v>
      </c>
      <c r="AF113" s="4" t="n">
        <f aca="false">AC113/(1-0.2)</f>
        <v>1.06954494</v>
      </c>
      <c r="AG113" s="4" t="n">
        <f aca="false">AC113/(1-0.24)</f>
        <v>1.12583677894737</v>
      </c>
      <c r="AH113" s="4" t="n">
        <v>1</v>
      </c>
      <c r="AI113" s="4" t="n">
        <v>1</v>
      </c>
      <c r="AJ113" s="4" t="n">
        <v>1</v>
      </c>
      <c r="AK113" s="4" t="n">
        <v>1</v>
      </c>
      <c r="AL113" s="4" t="n">
        <v>0.470267</v>
      </c>
      <c r="AM113" s="4" t="n">
        <v>0.335472</v>
      </c>
      <c r="AN113" s="4" t="n">
        <v>1</v>
      </c>
      <c r="AO113" s="4" t="n">
        <v>0.84</v>
      </c>
      <c r="AP113" s="4" t="n">
        <v>0.83</v>
      </c>
      <c r="AQ113" s="4" t="n">
        <v>0.82</v>
      </c>
      <c r="AR113" s="4" t="n">
        <v>0.81</v>
      </c>
      <c r="AS113" s="4" t="n">
        <v>0.805</v>
      </c>
      <c r="AT113" s="4" t="n">
        <v>0.8</v>
      </c>
      <c r="AU113" s="4" t="n">
        <v>1</v>
      </c>
      <c r="AV113" s="4" t="n">
        <v>0.4</v>
      </c>
      <c r="AW113" s="4" t="n">
        <v>1</v>
      </c>
      <c r="AX113" s="4" t="n">
        <v>1</v>
      </c>
      <c r="AY113" s="4" t="n">
        <v>0.499394</v>
      </c>
      <c r="AZ113" s="5" t="n">
        <v>1</v>
      </c>
      <c r="BA113" s="5" t="n">
        <v>0.4</v>
      </c>
      <c r="BB113" s="5" t="n">
        <v>1</v>
      </c>
      <c r="BC113" s="5" t="n">
        <v>1</v>
      </c>
      <c r="BD113" s="5" t="n">
        <v>1</v>
      </c>
      <c r="BE113" s="5" t="n">
        <v>1</v>
      </c>
      <c r="BF113" s="5" t="n">
        <v>0.6134875</v>
      </c>
      <c r="BG113" s="5" t="n">
        <f aca="false">BF113/(1-0.2)</f>
        <v>0.766859375</v>
      </c>
      <c r="BH113" s="5" t="n">
        <f aca="false">BF113/(1-0.25)</f>
        <v>0.817983333333333</v>
      </c>
      <c r="BI113" s="5" t="n">
        <v>0.6134875</v>
      </c>
      <c r="BJ113" s="5" t="n">
        <v>0.680812</v>
      </c>
      <c r="BK113" s="5" t="n">
        <v>0.757458</v>
      </c>
      <c r="BL113" s="5" t="n">
        <v>1</v>
      </c>
      <c r="BM113" s="5" t="n">
        <v>0.94</v>
      </c>
    </row>
    <row r="114" customFormat="false" ht="15.75" hidden="false" customHeight="true" outlineLevel="0" collapsed="false">
      <c r="A114" s="2" t="n">
        <v>112</v>
      </c>
      <c r="B114" s="2" t="n">
        <v>1</v>
      </c>
      <c r="C114" s="4" t="n">
        <v>1</v>
      </c>
      <c r="D114" s="4" t="n">
        <v>1</v>
      </c>
      <c r="E114" s="4" t="n">
        <v>1</v>
      </c>
      <c r="F114" s="4" t="n">
        <v>1</v>
      </c>
      <c r="G114" s="4" t="n">
        <v>0.925</v>
      </c>
      <c r="H114" s="4" t="n">
        <v>1</v>
      </c>
      <c r="I114" s="4" t="n">
        <v>1</v>
      </c>
      <c r="J114" s="4" t="n">
        <v>0.99</v>
      </c>
      <c r="K114" s="4" t="n">
        <v>1</v>
      </c>
      <c r="L114" s="5" t="n">
        <v>1</v>
      </c>
      <c r="M114" s="5" t="n">
        <f aca="false">L114/(1-0.19)</f>
        <v>1.23456790123457</v>
      </c>
      <c r="N114" s="5" t="n">
        <f aca="false">L114/(1-0.183)</f>
        <v>1.22399020807834</v>
      </c>
      <c r="O114" s="5" t="n">
        <v>1</v>
      </c>
      <c r="P114" s="5" t="n">
        <v>1</v>
      </c>
      <c r="Q114" s="5" t="n">
        <v>1</v>
      </c>
      <c r="R114" s="5" t="n">
        <v>0.975</v>
      </c>
      <c r="S114" s="4" t="n">
        <v>0.725622</v>
      </c>
      <c r="T114" s="4" t="n">
        <v>0.739483</v>
      </c>
      <c r="U114" s="4" t="n">
        <f aca="false">T114/(1-0.33)</f>
        <v>1.10370597014925</v>
      </c>
      <c r="V114" s="4" t="n">
        <v>1</v>
      </c>
      <c r="W114" s="4" t="n">
        <v>1</v>
      </c>
      <c r="X114" s="4" t="n">
        <v>0.831839</v>
      </c>
      <c r="Y114" s="4" t="n">
        <v>0.79024705</v>
      </c>
      <c r="Z114" s="4" t="n">
        <v>1</v>
      </c>
      <c r="AA114" s="4" t="n">
        <v>0.975</v>
      </c>
      <c r="AB114" s="4" t="n">
        <v>0.762343</v>
      </c>
      <c r="AC114" s="4" t="n">
        <v>0.9153523739</v>
      </c>
      <c r="AD114" s="4" t="n">
        <f aca="false">AC114/(1-0.1)</f>
        <v>1.01705819322222</v>
      </c>
      <c r="AE114" s="4" t="n">
        <f aca="false">AC114/(1-0.15)</f>
        <v>1.07688514576471</v>
      </c>
      <c r="AF114" s="4" t="n">
        <f aca="false">AC114/(1-0.2)</f>
        <v>1.144190467375</v>
      </c>
      <c r="AG114" s="4" t="n">
        <f aca="false">AC114/(1-0.24)</f>
        <v>1.20441101828947</v>
      </c>
      <c r="AH114" s="4" t="n">
        <v>1</v>
      </c>
      <c r="AI114" s="4" t="n">
        <v>1</v>
      </c>
      <c r="AJ114" s="4" t="n">
        <v>1</v>
      </c>
      <c r="AK114" s="4" t="n">
        <v>1</v>
      </c>
      <c r="AL114" s="4" t="n">
        <v>0.488317</v>
      </c>
      <c r="AM114" s="4" t="n">
        <v>0.353221</v>
      </c>
      <c r="AN114" s="4" t="n">
        <v>1</v>
      </c>
      <c r="AO114" s="4" t="n">
        <v>0.84</v>
      </c>
      <c r="AP114" s="4" t="n">
        <v>0.83</v>
      </c>
      <c r="AQ114" s="4" t="n">
        <v>0.82</v>
      </c>
      <c r="AR114" s="4" t="n">
        <v>0.81</v>
      </c>
      <c r="AS114" s="4" t="n">
        <v>0.805</v>
      </c>
      <c r="AT114" s="4" t="n">
        <v>0.8</v>
      </c>
      <c r="AU114" s="4" t="n">
        <v>1</v>
      </c>
      <c r="AV114" s="4" t="n">
        <v>0.4</v>
      </c>
      <c r="AW114" s="4" t="n">
        <v>1</v>
      </c>
      <c r="AX114" s="4" t="n">
        <v>1</v>
      </c>
      <c r="AY114" s="4" t="n">
        <v>0.5</v>
      </c>
      <c r="AZ114" s="5" t="n">
        <v>1</v>
      </c>
      <c r="BA114" s="5" t="n">
        <v>0.4</v>
      </c>
      <c r="BB114" s="5" t="n">
        <v>1</v>
      </c>
      <c r="BC114" s="5" t="n">
        <v>1</v>
      </c>
      <c r="BD114" s="5" t="n">
        <v>1</v>
      </c>
      <c r="BE114" s="5" t="n">
        <v>1</v>
      </c>
      <c r="BF114" s="5" t="n">
        <v>0.6633662</v>
      </c>
      <c r="BG114" s="5" t="n">
        <f aca="false">BF114/(1-0.2)</f>
        <v>0.82920775</v>
      </c>
      <c r="BH114" s="5" t="n">
        <f aca="false">BF114/(1-0.25)</f>
        <v>0.884488266666667</v>
      </c>
      <c r="BI114" s="5" t="n">
        <v>0.6633662</v>
      </c>
      <c r="BJ114" s="5" t="n">
        <v>0.714852</v>
      </c>
      <c r="BK114" s="5" t="n">
        <v>0.791824</v>
      </c>
      <c r="BL114" s="5" t="n">
        <v>1</v>
      </c>
      <c r="BM114" s="5" t="n">
        <v>0.94</v>
      </c>
    </row>
    <row r="115" customFormat="false" ht="15.75" hidden="false" customHeight="true" outlineLevel="0" collapsed="false">
      <c r="A115" s="2" t="n">
        <v>113</v>
      </c>
      <c r="B115" s="2" t="n">
        <v>1</v>
      </c>
      <c r="C115" s="4" t="n">
        <v>1</v>
      </c>
      <c r="D115" s="4" t="n">
        <v>1</v>
      </c>
      <c r="E115" s="4" t="n">
        <v>1</v>
      </c>
      <c r="F115" s="4" t="n">
        <v>1</v>
      </c>
      <c r="G115" s="4" t="n">
        <v>0.925</v>
      </c>
      <c r="H115" s="4" t="n">
        <v>1</v>
      </c>
      <c r="I115" s="4" t="n">
        <v>1</v>
      </c>
      <c r="J115" s="4" t="n">
        <v>0.99</v>
      </c>
      <c r="K115" s="4" t="n">
        <v>1</v>
      </c>
      <c r="L115" s="5" t="n">
        <v>1</v>
      </c>
      <c r="M115" s="5" t="n">
        <f aca="false">L115/(1-0.19)</f>
        <v>1.23456790123457</v>
      </c>
      <c r="N115" s="5" t="n">
        <f aca="false">L115/(1-0.183)</f>
        <v>1.22399020807834</v>
      </c>
      <c r="O115" s="5" t="n">
        <v>1</v>
      </c>
      <c r="P115" s="5" t="n">
        <v>1</v>
      </c>
      <c r="Q115" s="5" t="n">
        <v>1</v>
      </c>
      <c r="R115" s="5" t="n">
        <v>0.975</v>
      </c>
      <c r="S115" s="4" t="n">
        <v>0.808336</v>
      </c>
      <c r="T115" s="4" t="n">
        <v>0.818254</v>
      </c>
      <c r="U115" s="4" t="n">
        <f aca="false">T115/(1-0.33)</f>
        <v>1.22127462686567</v>
      </c>
      <c r="V115" s="4" t="n">
        <v>1</v>
      </c>
      <c r="W115" s="4" t="n">
        <v>1</v>
      </c>
      <c r="X115" s="4" t="n">
        <v>1</v>
      </c>
      <c r="Y115" s="4" t="n">
        <v>0.95</v>
      </c>
      <c r="Z115" s="4" t="n">
        <v>1</v>
      </c>
      <c r="AA115" s="4" t="n">
        <v>0.975</v>
      </c>
      <c r="AB115" s="4" t="n">
        <v>0.835056</v>
      </c>
      <c r="AC115" s="4" t="n">
        <v>0.9629801222</v>
      </c>
      <c r="AD115" s="4" t="n">
        <f aca="false">AC115/(1-0.1)</f>
        <v>1.06997791355556</v>
      </c>
      <c r="AE115" s="4" t="n">
        <f aca="false">AC115/(1-0.15)</f>
        <v>1.13291779082353</v>
      </c>
      <c r="AF115" s="4" t="n">
        <f aca="false">AC115/(1-0.2)</f>
        <v>1.20372515275</v>
      </c>
      <c r="AG115" s="4" t="n">
        <f aca="false">AC115/(1-0.24)</f>
        <v>1.26707910815789</v>
      </c>
      <c r="AH115" s="4" t="n">
        <v>1</v>
      </c>
      <c r="AI115" s="4" t="n">
        <v>1</v>
      </c>
      <c r="AJ115" s="4" t="n">
        <v>1</v>
      </c>
      <c r="AK115" s="4" t="n">
        <v>1</v>
      </c>
      <c r="AL115" s="4" t="n">
        <v>0.506717</v>
      </c>
      <c r="AM115" s="4" t="n">
        <v>0.371499</v>
      </c>
      <c r="AN115" s="4" t="n">
        <v>1</v>
      </c>
      <c r="AO115" s="4" t="n">
        <v>0.84</v>
      </c>
      <c r="AP115" s="4" t="n">
        <v>0.83</v>
      </c>
      <c r="AQ115" s="4" t="n">
        <v>0.82</v>
      </c>
      <c r="AR115" s="4" t="n">
        <v>0.81</v>
      </c>
      <c r="AS115" s="4" t="n">
        <v>0.805</v>
      </c>
      <c r="AT115" s="4" t="n">
        <v>0.8</v>
      </c>
      <c r="AU115" s="4" t="n">
        <v>1</v>
      </c>
      <c r="AV115" s="4" t="n">
        <v>0.4</v>
      </c>
      <c r="AW115" s="4" t="n">
        <v>1</v>
      </c>
      <c r="AX115" s="4" t="n">
        <v>1</v>
      </c>
      <c r="AY115" s="4" t="n">
        <v>0.5</v>
      </c>
      <c r="AZ115" s="5" t="n">
        <v>1</v>
      </c>
      <c r="BA115" s="5" t="n">
        <v>0.4</v>
      </c>
      <c r="BB115" s="5" t="n">
        <v>1</v>
      </c>
      <c r="BC115" s="5" t="n">
        <v>1</v>
      </c>
      <c r="BD115" s="5" t="n">
        <v>1</v>
      </c>
      <c r="BE115" s="5" t="n">
        <v>1</v>
      </c>
      <c r="BF115" s="5" t="n">
        <v>0.7173002</v>
      </c>
      <c r="BG115" s="5" t="n">
        <f aca="false">BF115/(1-0.2)</f>
        <v>0.89662525</v>
      </c>
      <c r="BH115" s="5" t="n">
        <f aca="false">BF115/(1-0.25)</f>
        <v>0.956400266666667</v>
      </c>
      <c r="BI115" s="5" t="n">
        <v>0.7173002</v>
      </c>
      <c r="BJ115" s="5" t="n">
        <v>0.750595</v>
      </c>
      <c r="BK115" s="5" t="n">
        <v>0.824242</v>
      </c>
      <c r="BL115" s="5" t="n">
        <v>1</v>
      </c>
      <c r="BM115" s="5" t="n">
        <v>0.94</v>
      </c>
    </row>
    <row r="116" customFormat="false" ht="15.75" hidden="false" customHeight="true" outlineLevel="0" collapsed="false">
      <c r="A116" s="2" t="n">
        <v>114</v>
      </c>
      <c r="B116" s="2" t="n">
        <v>1</v>
      </c>
      <c r="C116" s="4" t="n">
        <v>1</v>
      </c>
      <c r="D116" s="4" t="n">
        <v>1</v>
      </c>
      <c r="E116" s="4" t="n">
        <v>1</v>
      </c>
      <c r="F116" s="4" t="n">
        <v>1</v>
      </c>
      <c r="G116" s="4" t="n">
        <v>0.925</v>
      </c>
      <c r="H116" s="4" t="n">
        <v>1</v>
      </c>
      <c r="I116" s="4" t="n">
        <v>1</v>
      </c>
      <c r="J116" s="4" t="n">
        <v>0.99</v>
      </c>
      <c r="K116" s="4" t="n">
        <v>1</v>
      </c>
      <c r="L116" s="5" t="n">
        <v>1</v>
      </c>
      <c r="M116" s="5" t="n">
        <f aca="false">L116/(1-0.19)</f>
        <v>1.23456790123457</v>
      </c>
      <c r="N116" s="5" t="n">
        <f aca="false">L116/(1-0.183)</f>
        <v>1.22399020807834</v>
      </c>
      <c r="O116" s="5" t="n">
        <v>1</v>
      </c>
      <c r="P116" s="5" t="n">
        <v>1</v>
      </c>
      <c r="Q116" s="5" t="n">
        <v>1</v>
      </c>
      <c r="R116" s="5" t="n">
        <v>0.975</v>
      </c>
      <c r="S116" s="4" t="n">
        <v>0.899633</v>
      </c>
      <c r="T116" s="4" t="n">
        <v>0.904945</v>
      </c>
      <c r="U116" s="4" t="n">
        <f aca="false">T116/(1-0.33)</f>
        <v>1.35066417910448</v>
      </c>
      <c r="V116" s="4" t="n">
        <v>1</v>
      </c>
      <c r="W116" s="4" t="n">
        <v>1</v>
      </c>
      <c r="X116" s="4" t="n">
        <v>1</v>
      </c>
      <c r="Y116" s="4" t="n">
        <v>0.95</v>
      </c>
      <c r="Z116" s="4" t="n">
        <v>1</v>
      </c>
      <c r="AA116" s="4" t="n">
        <v>0.975</v>
      </c>
      <c r="AB116" s="4" t="n">
        <v>0.914167</v>
      </c>
      <c r="AC116" s="4" t="n">
        <v>0.9912628352</v>
      </c>
      <c r="AD116" s="4" t="n">
        <f aca="false">AC116/(1-0.1)</f>
        <v>1.10140315022222</v>
      </c>
      <c r="AE116" s="4" t="n">
        <f aca="false">AC116/(1-0.15)</f>
        <v>1.16619157082353</v>
      </c>
      <c r="AF116" s="4" t="n">
        <f aca="false">AC116/(1-0.2)</f>
        <v>1.239078544</v>
      </c>
      <c r="AG116" s="4" t="n">
        <f aca="false">AC116/(1-0.24)</f>
        <v>1.30429320421053</v>
      </c>
      <c r="AH116" s="4" t="n">
        <v>1</v>
      </c>
      <c r="AI116" s="4" t="n">
        <v>1</v>
      </c>
      <c r="AJ116" s="4" t="n">
        <v>1</v>
      </c>
      <c r="AK116" s="4" t="n">
        <v>1</v>
      </c>
      <c r="AL116" s="4" t="n">
        <v>0.525466</v>
      </c>
      <c r="AM116" s="4" t="n">
        <v>0.390304</v>
      </c>
      <c r="AN116" s="4" t="n">
        <v>1</v>
      </c>
      <c r="AO116" s="4" t="n">
        <v>0.84</v>
      </c>
      <c r="AP116" s="4" t="n">
        <v>0.83</v>
      </c>
      <c r="AQ116" s="4" t="n">
        <v>0.82</v>
      </c>
      <c r="AR116" s="4" t="n">
        <v>0.81</v>
      </c>
      <c r="AS116" s="4" t="n">
        <v>0.805</v>
      </c>
      <c r="AT116" s="4" t="n">
        <v>0.8</v>
      </c>
      <c r="AU116" s="4" t="n">
        <v>1</v>
      </c>
      <c r="AV116" s="4" t="n">
        <v>0.4</v>
      </c>
      <c r="AW116" s="4" t="n">
        <v>1</v>
      </c>
      <c r="AX116" s="4" t="n">
        <v>1</v>
      </c>
      <c r="AY116" s="4" t="n">
        <v>0.5</v>
      </c>
      <c r="AZ116" s="5" t="n">
        <v>1</v>
      </c>
      <c r="BA116" s="5" t="n">
        <v>0.4</v>
      </c>
      <c r="BB116" s="5" t="n">
        <v>1</v>
      </c>
      <c r="BC116" s="5" t="n">
        <v>1</v>
      </c>
      <c r="BD116" s="5" t="n">
        <v>1</v>
      </c>
      <c r="BE116" s="5" t="n">
        <v>1</v>
      </c>
      <c r="BF116" s="5" t="n">
        <v>0.7756192</v>
      </c>
      <c r="BG116" s="5" t="n">
        <f aca="false">BF116/(1-0.2)</f>
        <v>0.969524</v>
      </c>
      <c r="BH116" s="5" t="n">
        <f aca="false">BF116/(1-0.25)</f>
        <v>1.03415893333333</v>
      </c>
      <c r="BI116" s="5" t="n">
        <v>0.7756192</v>
      </c>
      <c r="BJ116" s="5" t="n">
        <v>0.788125</v>
      </c>
      <c r="BK116" s="5" t="n">
        <v>0.854296</v>
      </c>
      <c r="BL116" s="5" t="n">
        <v>1</v>
      </c>
      <c r="BM116" s="5" t="n">
        <v>0.94</v>
      </c>
    </row>
    <row r="117" customFormat="false" ht="15.75" hidden="false" customHeight="true" outlineLevel="0" collapsed="false">
      <c r="A117" s="2" t="n">
        <v>115</v>
      </c>
      <c r="B117" s="2" t="n">
        <v>1</v>
      </c>
      <c r="C117" s="4" t="n">
        <v>1</v>
      </c>
      <c r="D117" s="4" t="n">
        <v>1</v>
      </c>
      <c r="E117" s="4" t="n">
        <v>1</v>
      </c>
      <c r="F117" s="4" t="n">
        <v>1</v>
      </c>
      <c r="G117" s="4" t="n">
        <v>0.925</v>
      </c>
      <c r="H117" s="4" t="n">
        <v>1</v>
      </c>
      <c r="I117" s="4" t="n">
        <v>1</v>
      </c>
      <c r="J117" s="4" t="n">
        <v>0.99</v>
      </c>
      <c r="K117" s="4" t="n">
        <v>1</v>
      </c>
      <c r="L117" s="5" t="n">
        <v>1</v>
      </c>
      <c r="M117" s="5" t="n">
        <f aca="false">L117/(1-0.19)</f>
        <v>1.23456790123457</v>
      </c>
      <c r="N117" s="5" t="n">
        <f aca="false">L117/(1-0.183)</f>
        <v>1.22399020807834</v>
      </c>
      <c r="O117" s="5" t="n">
        <v>1</v>
      </c>
      <c r="P117" s="5" t="n">
        <v>1</v>
      </c>
      <c r="Q117" s="5" t="n">
        <v>1</v>
      </c>
      <c r="R117" s="5" t="n">
        <v>0.975</v>
      </c>
      <c r="S117" s="4" t="n">
        <v>1</v>
      </c>
      <c r="T117" s="4" t="n">
        <v>1</v>
      </c>
      <c r="U117" s="4" t="n">
        <f aca="false">T117/(1-0.33)</f>
        <v>1.49253731343284</v>
      </c>
      <c r="V117" s="4" t="n">
        <v>1</v>
      </c>
      <c r="W117" s="4" t="n">
        <v>1</v>
      </c>
      <c r="X117" s="4" t="n">
        <v>1</v>
      </c>
      <c r="Y117" s="4" t="n">
        <v>0.95</v>
      </c>
      <c r="Z117" s="4" t="n">
        <v>1</v>
      </c>
      <c r="AA117" s="4" t="n">
        <v>0.975</v>
      </c>
      <c r="AB117" s="4" t="n">
        <v>1</v>
      </c>
      <c r="AC117" s="4" t="n">
        <v>0.9996218265</v>
      </c>
      <c r="AD117" s="4" t="n">
        <f aca="false">AC117/(1-0.1)</f>
        <v>1.11069091833333</v>
      </c>
      <c r="AE117" s="4" t="n">
        <f aca="false">AC117/(1-0.15)</f>
        <v>1.17602567823529</v>
      </c>
      <c r="AF117" s="4" t="n">
        <f aca="false">AC117/(1-0.2)</f>
        <v>1.249527283125</v>
      </c>
      <c r="AG117" s="4" t="n">
        <f aca="false">AC117/(1-0.24)</f>
        <v>1.31529187697368</v>
      </c>
      <c r="AH117" s="4" t="n">
        <v>1</v>
      </c>
      <c r="AI117" s="4" t="n">
        <v>1</v>
      </c>
      <c r="AJ117" s="4" t="n">
        <v>1</v>
      </c>
      <c r="AK117" s="4" t="n">
        <v>1</v>
      </c>
      <c r="AL117" s="4" t="n">
        <v>0.544565</v>
      </c>
      <c r="AM117" s="4" t="n">
        <v>0.409637</v>
      </c>
      <c r="AN117" s="4" t="n">
        <v>1</v>
      </c>
      <c r="AO117" s="4" t="n">
        <v>0.84</v>
      </c>
      <c r="AP117" s="4" t="n">
        <v>0.83</v>
      </c>
      <c r="AQ117" s="4" t="n">
        <v>0.82</v>
      </c>
      <c r="AR117" s="4" t="n">
        <v>0.81</v>
      </c>
      <c r="AS117" s="4" t="n">
        <v>0.805</v>
      </c>
      <c r="AT117" s="4" t="n">
        <v>0.8</v>
      </c>
      <c r="AU117" s="4" t="n">
        <v>1</v>
      </c>
      <c r="AV117" s="4" t="n">
        <v>0.4</v>
      </c>
      <c r="AW117" s="4" t="n">
        <v>1</v>
      </c>
      <c r="AX117" s="4" t="n">
        <v>1</v>
      </c>
      <c r="AY117" s="4" t="n">
        <v>0.5</v>
      </c>
      <c r="AZ117" s="5" t="n">
        <v>1</v>
      </c>
      <c r="BA117" s="5" t="n">
        <v>0.4</v>
      </c>
      <c r="BB117" s="5" t="n">
        <v>1</v>
      </c>
      <c r="BC117" s="5" t="n">
        <v>1</v>
      </c>
      <c r="BD117" s="5" t="n">
        <v>1</v>
      </c>
      <c r="BE117" s="5" t="n">
        <v>1</v>
      </c>
      <c r="BF117" s="5" t="n">
        <v>0.8386798</v>
      </c>
      <c r="BG117" s="5" t="n">
        <f aca="false">BF117/(1-0.2)</f>
        <v>1.04834975</v>
      </c>
      <c r="BH117" s="5" t="n">
        <f aca="false">BF117/(1-0.25)</f>
        <v>1.11823973333333</v>
      </c>
      <c r="BI117" s="5" t="n">
        <v>0.8386798</v>
      </c>
      <c r="BJ117" s="5" t="n">
        <v>0.827531</v>
      </c>
      <c r="BK117" s="5" t="n">
        <v>0.88163</v>
      </c>
      <c r="BL117" s="5" t="n">
        <v>1</v>
      </c>
      <c r="BM117" s="5" t="n">
        <v>0.94</v>
      </c>
    </row>
    <row r="118" customFormat="false" ht="15.75" hidden="false" customHeight="true" outlineLevel="0" collapsed="false">
      <c r="A118" s="2" t="n">
        <v>116</v>
      </c>
      <c r="B118" s="2" t="n">
        <v>1</v>
      </c>
      <c r="C118" s="4" t="n">
        <v>1</v>
      </c>
      <c r="D118" s="4" t="n">
        <v>1</v>
      </c>
      <c r="E118" s="4" t="n">
        <v>1</v>
      </c>
      <c r="F118" s="4" t="n">
        <v>1</v>
      </c>
      <c r="G118" s="4" t="n">
        <v>0.925</v>
      </c>
      <c r="H118" s="4" t="n">
        <v>1</v>
      </c>
      <c r="I118" s="4" t="n">
        <v>1</v>
      </c>
      <c r="J118" s="4" t="n">
        <v>0.99</v>
      </c>
      <c r="K118" s="4" t="n">
        <v>1</v>
      </c>
      <c r="L118" s="5" t="n">
        <v>1</v>
      </c>
      <c r="M118" s="5" t="n">
        <f aca="false">L118/(1-0.19)</f>
        <v>1.23456790123457</v>
      </c>
      <c r="N118" s="5" t="n">
        <f aca="false">L118/(1-0.183)</f>
        <v>1.22399020807834</v>
      </c>
      <c r="O118" s="5" t="n">
        <v>1</v>
      </c>
      <c r="P118" s="5" t="n">
        <v>1</v>
      </c>
      <c r="Q118" s="5" t="n">
        <v>1</v>
      </c>
      <c r="R118" s="5" t="n">
        <v>0.975</v>
      </c>
      <c r="S118" s="4" t="n">
        <v>1</v>
      </c>
      <c r="T118" s="4" t="n">
        <v>1</v>
      </c>
      <c r="U118" s="4" t="n">
        <f aca="false">T118/(1-0.33)</f>
        <v>1.49253731343284</v>
      </c>
      <c r="V118" s="4" t="n">
        <v>1</v>
      </c>
      <c r="W118" s="4" t="n">
        <v>1</v>
      </c>
      <c r="X118" s="4" t="n">
        <v>1</v>
      </c>
      <c r="Y118" s="4" t="n">
        <v>0.95</v>
      </c>
      <c r="Z118" s="4" t="n">
        <v>1</v>
      </c>
      <c r="AA118" s="4" t="n">
        <v>0.975</v>
      </c>
      <c r="AB118" s="4" t="n">
        <v>1</v>
      </c>
      <c r="AC118" s="4" t="n">
        <v>0.9999999975</v>
      </c>
      <c r="AD118" s="4" t="n">
        <f aca="false">AC118/(1-0.1)</f>
        <v>1.11111110833333</v>
      </c>
      <c r="AE118" s="4" t="n">
        <f aca="false">AC118/(1-0.15)</f>
        <v>1.17647058529412</v>
      </c>
      <c r="AF118" s="4" t="n">
        <f aca="false">AC118/(1-0.2)</f>
        <v>1.249999996875</v>
      </c>
      <c r="AG118" s="4" t="n">
        <f aca="false">AC118/(1-0.24)</f>
        <v>1.31578947039474</v>
      </c>
      <c r="AH118" s="4" t="n">
        <v>1</v>
      </c>
      <c r="AI118" s="4" t="n">
        <v>1</v>
      </c>
      <c r="AJ118" s="4" t="n">
        <v>1</v>
      </c>
      <c r="AK118" s="4" t="n">
        <v>1</v>
      </c>
      <c r="AL118" s="4" t="n">
        <v>0.564014</v>
      </c>
      <c r="AM118" s="4" t="n">
        <v>0.429498</v>
      </c>
      <c r="AN118" s="4" t="n">
        <v>1</v>
      </c>
      <c r="AO118" s="4" t="n">
        <v>0.84</v>
      </c>
      <c r="AP118" s="4" t="n">
        <v>0.83</v>
      </c>
      <c r="AQ118" s="4" t="n">
        <v>0.82</v>
      </c>
      <c r="AR118" s="4" t="n">
        <v>0.81</v>
      </c>
      <c r="AS118" s="4" t="n">
        <v>0.805</v>
      </c>
      <c r="AT118" s="4" t="n">
        <v>0.8</v>
      </c>
      <c r="AU118" s="4" t="n">
        <v>1</v>
      </c>
      <c r="AV118" s="4" t="n">
        <v>0.4</v>
      </c>
      <c r="AW118" s="4" t="n">
        <v>1</v>
      </c>
      <c r="AX118" s="4" t="n">
        <v>1</v>
      </c>
      <c r="AY118" s="4" t="n">
        <v>0.5</v>
      </c>
      <c r="AZ118" s="5" t="n">
        <v>1</v>
      </c>
      <c r="BA118" s="5" t="n">
        <v>0.4</v>
      </c>
      <c r="BB118" s="5" t="n">
        <v>1</v>
      </c>
      <c r="BC118" s="5" t="n">
        <v>1</v>
      </c>
      <c r="BD118" s="5" t="n">
        <v>1</v>
      </c>
      <c r="BE118" s="5" t="n">
        <v>1</v>
      </c>
      <c r="BF118" s="5" t="n">
        <v>0.9068674</v>
      </c>
      <c r="BG118" s="5" t="n">
        <f aca="false">BF118/(1-0.2)</f>
        <v>1.13358425</v>
      </c>
      <c r="BH118" s="5" t="n">
        <f aca="false">BF118/(1-0.25)</f>
        <v>1.20915653333333</v>
      </c>
      <c r="BI118" s="5" t="n">
        <v>0.9068674</v>
      </c>
      <c r="BJ118" s="5" t="n">
        <v>0.868907</v>
      </c>
      <c r="BK118" s="5" t="n">
        <v>0.905968</v>
      </c>
      <c r="BL118" s="5" t="n">
        <v>1</v>
      </c>
      <c r="BM118" s="5" t="n">
        <v>0.94</v>
      </c>
    </row>
    <row r="119" customFormat="false" ht="15.75" hidden="false" customHeight="true" outlineLevel="0" collapsed="false">
      <c r="A119" s="2" t="n">
        <v>117</v>
      </c>
      <c r="B119" s="2" t="n">
        <v>1</v>
      </c>
      <c r="C119" s="4" t="n">
        <v>1</v>
      </c>
      <c r="D119" s="4" t="n">
        <v>1</v>
      </c>
      <c r="E119" s="4" t="n">
        <v>1</v>
      </c>
      <c r="F119" s="4" t="n">
        <v>1</v>
      </c>
      <c r="G119" s="4" t="n">
        <v>0.925</v>
      </c>
      <c r="H119" s="4" t="n">
        <v>1</v>
      </c>
      <c r="I119" s="4" t="n">
        <v>1</v>
      </c>
      <c r="J119" s="4" t="n">
        <v>0.99</v>
      </c>
      <c r="K119" s="4" t="n">
        <v>1</v>
      </c>
      <c r="L119" s="5" t="n">
        <v>1</v>
      </c>
      <c r="M119" s="5" t="n">
        <f aca="false">L119/(1-0.19)</f>
        <v>1.23456790123457</v>
      </c>
      <c r="N119" s="5" t="n">
        <f aca="false">L119/(1-0.183)</f>
        <v>1.22399020807834</v>
      </c>
      <c r="O119" s="5" t="n">
        <v>1</v>
      </c>
      <c r="P119" s="5" t="n">
        <v>1</v>
      </c>
      <c r="Q119" s="5" t="n">
        <v>1</v>
      </c>
      <c r="R119" s="5" t="n">
        <v>0.975</v>
      </c>
      <c r="S119" s="4" t="n">
        <v>1</v>
      </c>
      <c r="T119" s="4" t="n">
        <v>1</v>
      </c>
      <c r="U119" s="4" t="n">
        <f aca="false">T119/(1-0.33)</f>
        <v>1.49253731343284</v>
      </c>
      <c r="V119" s="4" t="n">
        <v>1</v>
      </c>
      <c r="W119" s="4" t="n">
        <v>1</v>
      </c>
      <c r="X119" s="4" t="n">
        <v>1</v>
      </c>
      <c r="Y119" s="4" t="n">
        <v>0.95</v>
      </c>
      <c r="Z119" s="4" t="n">
        <v>1</v>
      </c>
      <c r="AA119" s="4" t="n">
        <v>0.975</v>
      </c>
      <c r="AB119" s="4" t="n">
        <v>1</v>
      </c>
      <c r="AC119" s="4" t="n">
        <v>1</v>
      </c>
      <c r="AD119" s="4" t="n">
        <f aca="false">AC119/(1-0.1)</f>
        <v>1.11111111111111</v>
      </c>
      <c r="AE119" s="4" t="n">
        <f aca="false">AC119/(1-0.15)</f>
        <v>1.17647058823529</v>
      </c>
      <c r="AF119" s="4" t="n">
        <f aca="false">AC119/(1-0.2)</f>
        <v>1.25</v>
      </c>
      <c r="AG119" s="4" t="n">
        <f aca="false">AC119/(1-0.24)</f>
        <v>1.31578947368421</v>
      </c>
      <c r="AH119" s="4" t="n">
        <v>1</v>
      </c>
      <c r="AI119" s="4" t="n">
        <v>1</v>
      </c>
      <c r="AJ119" s="4" t="n">
        <v>1</v>
      </c>
      <c r="AK119" s="4" t="n">
        <v>1</v>
      </c>
      <c r="AL119" s="4" t="n">
        <v>0.583813</v>
      </c>
      <c r="AM119" s="4" t="n">
        <v>0.449887</v>
      </c>
      <c r="AN119" s="4" t="n">
        <v>1</v>
      </c>
      <c r="AO119" s="4" t="n">
        <v>0.84</v>
      </c>
      <c r="AP119" s="4" t="n">
        <v>0.83</v>
      </c>
      <c r="AQ119" s="4" t="n">
        <v>0.82</v>
      </c>
      <c r="AR119" s="4" t="n">
        <v>0.81</v>
      </c>
      <c r="AS119" s="4" t="n">
        <v>0.805</v>
      </c>
      <c r="AT119" s="4" t="n">
        <v>0.8</v>
      </c>
      <c r="AU119" s="4" t="n">
        <v>1</v>
      </c>
      <c r="AV119" s="4" t="n">
        <v>0.4</v>
      </c>
      <c r="AW119" s="4" t="n">
        <v>1</v>
      </c>
      <c r="AX119" s="4" t="n">
        <v>1</v>
      </c>
      <c r="AY119" s="4" t="n">
        <v>0.5</v>
      </c>
      <c r="AZ119" s="5" t="n">
        <v>1</v>
      </c>
      <c r="BA119" s="5" t="n">
        <v>0.4</v>
      </c>
      <c r="BB119" s="5" t="n">
        <v>1</v>
      </c>
      <c r="BC119" s="5" t="n">
        <v>1</v>
      </c>
      <c r="BD119" s="5" t="n">
        <v>1</v>
      </c>
      <c r="BE119" s="5" t="n">
        <v>1</v>
      </c>
      <c r="BF119" s="5" t="n">
        <v>0.9805989</v>
      </c>
      <c r="BG119" s="5" t="n">
        <f aca="false">BF119/(1-0.2)</f>
        <v>1.225748625</v>
      </c>
      <c r="BH119" s="5" t="n">
        <f aca="false">BF119/(1-0.25)</f>
        <v>1.3074652</v>
      </c>
      <c r="BI119" s="5" t="n">
        <v>0.9805989</v>
      </c>
      <c r="BJ119" s="5" t="n">
        <v>0.912353</v>
      </c>
      <c r="BK119" s="5" t="n">
        <v>0.927133</v>
      </c>
      <c r="BL119" s="5" t="n">
        <v>1</v>
      </c>
      <c r="BM119" s="5" t="n">
        <v>0.94</v>
      </c>
    </row>
    <row r="120" customFormat="false" ht="15.75" hidden="false" customHeight="true" outlineLevel="0" collapsed="false">
      <c r="A120" s="2" t="n">
        <v>118</v>
      </c>
      <c r="B120" s="2" t="n">
        <v>1</v>
      </c>
      <c r="C120" s="4" t="n">
        <v>1</v>
      </c>
      <c r="D120" s="4" t="n">
        <v>1</v>
      </c>
      <c r="E120" s="4" t="n">
        <v>1</v>
      </c>
      <c r="F120" s="4" t="n">
        <v>1</v>
      </c>
      <c r="G120" s="4" t="n">
        <v>0.925</v>
      </c>
      <c r="H120" s="4" t="n">
        <v>1</v>
      </c>
      <c r="I120" s="4" t="n">
        <v>1</v>
      </c>
      <c r="J120" s="4" t="n">
        <v>0.99</v>
      </c>
      <c r="K120" s="4" t="n">
        <v>1</v>
      </c>
      <c r="L120" s="5" t="n">
        <v>1</v>
      </c>
      <c r="M120" s="5" t="n">
        <f aca="false">L120/(1-0.19)</f>
        <v>1.23456790123457</v>
      </c>
      <c r="N120" s="5" t="n">
        <f aca="false">L120/(1-0.183)</f>
        <v>1.22399020807834</v>
      </c>
      <c r="O120" s="5" t="n">
        <v>1</v>
      </c>
      <c r="P120" s="5" t="n">
        <v>1</v>
      </c>
      <c r="Q120" s="5" t="n">
        <v>1</v>
      </c>
      <c r="R120" s="5" t="n">
        <v>0.975</v>
      </c>
      <c r="S120" s="4" t="n">
        <v>1</v>
      </c>
      <c r="T120" s="4" t="n">
        <v>1</v>
      </c>
      <c r="U120" s="4" t="n">
        <f aca="false">T120/(1-0.33)</f>
        <v>1.49253731343284</v>
      </c>
      <c r="V120" s="4" t="n">
        <v>1</v>
      </c>
      <c r="W120" s="4" t="n">
        <v>1</v>
      </c>
      <c r="X120" s="4" t="n">
        <v>1</v>
      </c>
      <c r="Y120" s="4" t="n">
        <v>0.95</v>
      </c>
      <c r="Z120" s="4" t="n">
        <v>1</v>
      </c>
      <c r="AA120" s="4" t="n">
        <v>0.975</v>
      </c>
      <c r="AB120" s="4" t="n">
        <v>1</v>
      </c>
      <c r="AC120" s="4" t="n">
        <v>1</v>
      </c>
      <c r="AD120" s="4" t="n">
        <f aca="false">AC120/(1-0.1)</f>
        <v>1.11111111111111</v>
      </c>
      <c r="AE120" s="4" t="n">
        <f aca="false">AC120/(1-0.15)</f>
        <v>1.17647058823529</v>
      </c>
      <c r="AF120" s="4" t="n">
        <f aca="false">AC120/(1-0.2)</f>
        <v>1.25</v>
      </c>
      <c r="AG120" s="4" t="n">
        <f aca="false">AC120/(1-0.24)</f>
        <v>1.31578947368421</v>
      </c>
      <c r="AH120" s="4" t="n">
        <v>1</v>
      </c>
      <c r="AI120" s="4" t="n">
        <v>1</v>
      </c>
      <c r="AJ120" s="4" t="n">
        <v>1</v>
      </c>
      <c r="AK120" s="4" t="n">
        <v>1</v>
      </c>
      <c r="AL120" s="4" t="n">
        <v>0.603962</v>
      </c>
      <c r="AM120" s="4" t="n">
        <v>0.470804</v>
      </c>
      <c r="AN120" s="4" t="n">
        <v>1</v>
      </c>
      <c r="AO120" s="4" t="n">
        <v>0.84</v>
      </c>
      <c r="AP120" s="4" t="n">
        <v>0.83</v>
      </c>
      <c r="AQ120" s="4" t="n">
        <v>0.82</v>
      </c>
      <c r="AR120" s="4" t="n">
        <v>0.81</v>
      </c>
      <c r="AS120" s="4" t="n">
        <v>0.805</v>
      </c>
      <c r="AT120" s="4" t="n">
        <v>0.8</v>
      </c>
      <c r="AU120" s="4" t="n">
        <v>1</v>
      </c>
      <c r="AV120" s="4" t="n">
        <v>0.4</v>
      </c>
      <c r="AW120" s="4" t="n">
        <v>1</v>
      </c>
      <c r="AX120" s="4" t="n">
        <v>1</v>
      </c>
      <c r="AY120" s="4" t="n">
        <v>0.5</v>
      </c>
      <c r="AZ120" s="5" t="n">
        <v>1</v>
      </c>
      <c r="BA120" s="5" t="n">
        <v>0.4</v>
      </c>
      <c r="BB120" s="5" t="n">
        <v>1</v>
      </c>
      <c r="BC120" s="5" t="n">
        <v>1</v>
      </c>
      <c r="BD120" s="5" t="n">
        <v>1</v>
      </c>
      <c r="BE120" s="5" t="n">
        <v>1</v>
      </c>
      <c r="BF120" s="5" t="n">
        <v>1</v>
      </c>
      <c r="BG120" s="5" t="n">
        <f aca="false">BF120/(1-0.2)</f>
        <v>1.25</v>
      </c>
      <c r="BH120" s="5" t="n">
        <f aca="false">BF120/(1-0.25)</f>
        <v>1.33333333333333</v>
      </c>
      <c r="BI120" s="5" t="n">
        <v>1</v>
      </c>
      <c r="BJ120" s="5" t="n">
        <v>0.95797</v>
      </c>
      <c r="BK120" s="5" t="n">
        <v>0.945066</v>
      </c>
      <c r="BL120" s="5" t="n">
        <v>1</v>
      </c>
      <c r="BM120" s="5" t="n">
        <v>0.94</v>
      </c>
    </row>
    <row r="121" customFormat="false" ht="15.75" hidden="false" customHeight="true" outlineLevel="0" collapsed="false">
      <c r="A121" s="2" t="n">
        <v>119</v>
      </c>
      <c r="B121" s="2" t="n">
        <v>1</v>
      </c>
      <c r="C121" s="4" t="n">
        <v>1</v>
      </c>
      <c r="D121" s="4" t="n">
        <v>1</v>
      </c>
      <c r="E121" s="4" t="n">
        <v>1</v>
      </c>
      <c r="F121" s="4" t="n">
        <v>1</v>
      </c>
      <c r="G121" s="4" t="n">
        <v>0.925</v>
      </c>
      <c r="H121" s="4" t="n">
        <v>1</v>
      </c>
      <c r="I121" s="4" t="n">
        <v>1</v>
      </c>
      <c r="J121" s="4" t="n">
        <v>0.99</v>
      </c>
      <c r="K121" s="4" t="n">
        <v>1</v>
      </c>
      <c r="L121" s="5" t="n">
        <v>1</v>
      </c>
      <c r="M121" s="5" t="n">
        <f aca="false">L121/(1-0.19)</f>
        <v>1.23456790123457</v>
      </c>
      <c r="N121" s="5" t="n">
        <f aca="false">L121/(1-0.183)</f>
        <v>1.22399020807834</v>
      </c>
      <c r="O121" s="5" t="n">
        <v>1</v>
      </c>
      <c r="P121" s="5" t="n">
        <v>1</v>
      </c>
      <c r="Q121" s="5" t="n">
        <v>1</v>
      </c>
      <c r="R121" s="5" t="n">
        <v>0.975</v>
      </c>
      <c r="S121" s="4" t="n">
        <v>1</v>
      </c>
      <c r="T121" s="4" t="n">
        <v>1</v>
      </c>
      <c r="U121" s="4" t="n">
        <f aca="false">T121/(1-0.33)</f>
        <v>1.49253731343284</v>
      </c>
      <c r="V121" s="4" t="n">
        <v>1</v>
      </c>
      <c r="W121" s="4" t="n">
        <v>1</v>
      </c>
      <c r="X121" s="4" t="n">
        <v>1</v>
      </c>
      <c r="Y121" s="4" t="n">
        <v>0.95</v>
      </c>
      <c r="Z121" s="4" t="n">
        <v>1</v>
      </c>
      <c r="AA121" s="4" t="n">
        <v>0.975</v>
      </c>
      <c r="AB121" s="4" t="n">
        <v>1</v>
      </c>
      <c r="AC121" s="4" t="n">
        <v>1</v>
      </c>
      <c r="AD121" s="4" t="n">
        <f aca="false">AC121/(1-0.1)</f>
        <v>1.11111111111111</v>
      </c>
      <c r="AE121" s="4" t="n">
        <f aca="false">AC121/(1-0.15)</f>
        <v>1.17647058823529</v>
      </c>
      <c r="AF121" s="4" t="n">
        <f aca="false">AC121/(1-0.2)</f>
        <v>1.25</v>
      </c>
      <c r="AG121" s="4" t="n">
        <f aca="false">AC121/(1-0.24)</f>
        <v>1.31578947368421</v>
      </c>
      <c r="AH121" s="4" t="n">
        <v>1</v>
      </c>
      <c r="AI121" s="4" t="n">
        <v>1</v>
      </c>
      <c r="AJ121" s="4" t="n">
        <v>1</v>
      </c>
      <c r="AK121" s="4" t="n">
        <v>1</v>
      </c>
      <c r="AL121" s="4" t="n">
        <v>1</v>
      </c>
      <c r="AM121" s="4" t="n">
        <v>0.492248</v>
      </c>
      <c r="AN121" s="4" t="n">
        <v>1</v>
      </c>
      <c r="AO121" s="4" t="n">
        <v>0.84</v>
      </c>
      <c r="AP121" s="4" t="n">
        <v>0.83</v>
      </c>
      <c r="AQ121" s="4" t="n">
        <v>0.82</v>
      </c>
      <c r="AR121" s="4" t="n">
        <v>0.81</v>
      </c>
      <c r="AS121" s="4" t="n">
        <v>0.805</v>
      </c>
      <c r="AT121" s="4" t="n">
        <v>0.8</v>
      </c>
      <c r="AU121" s="4" t="n">
        <v>1</v>
      </c>
      <c r="AV121" s="4" t="n">
        <v>0.4</v>
      </c>
      <c r="AW121" s="4" t="n">
        <v>1</v>
      </c>
      <c r="AX121" s="4" t="n">
        <v>1</v>
      </c>
      <c r="AY121" s="4" t="n">
        <v>0.5</v>
      </c>
      <c r="AZ121" s="5" t="n">
        <v>1</v>
      </c>
      <c r="BA121" s="5" t="n">
        <v>0.4</v>
      </c>
      <c r="BB121" s="5" t="n">
        <v>1</v>
      </c>
      <c r="BC121" s="5" t="n">
        <v>1</v>
      </c>
      <c r="BD121" s="5" t="n">
        <v>1</v>
      </c>
      <c r="BE121" s="5" t="n">
        <v>1</v>
      </c>
      <c r="BF121" s="5" t="n">
        <v>1</v>
      </c>
      <c r="BG121" s="5" t="n">
        <f aca="false">BF121/(1-0.2)</f>
        <v>1.25</v>
      </c>
      <c r="BH121" s="5" t="n">
        <f aca="false">BF121/(1-0.25)</f>
        <v>1.33333333333333</v>
      </c>
      <c r="BI121" s="5" t="n">
        <v>1</v>
      </c>
      <c r="BJ121" s="5" t="n">
        <v>1</v>
      </c>
      <c r="BK121" s="5" t="n">
        <v>0.959829</v>
      </c>
      <c r="BL121" s="5" t="n">
        <v>1</v>
      </c>
      <c r="BM121" s="5" t="n">
        <v>0.94</v>
      </c>
    </row>
    <row r="122" customFormat="false" ht="15.75" hidden="false" customHeight="true" outlineLevel="0" collapsed="false">
      <c r="A122" s="2" t="n">
        <v>120</v>
      </c>
      <c r="B122" s="2" t="n">
        <v>1</v>
      </c>
      <c r="C122" s="4" t="n">
        <v>1</v>
      </c>
      <c r="D122" s="4" t="n">
        <v>1</v>
      </c>
      <c r="E122" s="4" t="n">
        <v>1</v>
      </c>
      <c r="F122" s="4" t="n">
        <v>1</v>
      </c>
      <c r="G122" s="4" t="n">
        <v>0.925</v>
      </c>
      <c r="H122" s="4" t="n">
        <v>1</v>
      </c>
      <c r="I122" s="4" t="n">
        <v>1</v>
      </c>
      <c r="J122" s="4" t="n">
        <v>0.99</v>
      </c>
      <c r="K122" s="4" t="n">
        <v>1</v>
      </c>
      <c r="L122" s="5" t="n">
        <v>1</v>
      </c>
      <c r="M122" s="5" t="n">
        <f aca="false">L122/(1-0.19)</f>
        <v>1.23456790123457</v>
      </c>
      <c r="N122" s="5" t="n">
        <f aca="false">L122/(1-0.183)</f>
        <v>1.22399020807834</v>
      </c>
      <c r="O122" s="5" t="n">
        <v>1</v>
      </c>
      <c r="P122" s="5" t="n">
        <v>1</v>
      </c>
      <c r="Q122" s="5" t="n">
        <v>1</v>
      </c>
      <c r="R122" s="5" t="n">
        <v>0.975</v>
      </c>
      <c r="S122" s="4" t="n">
        <v>1</v>
      </c>
      <c r="T122" s="4" t="n">
        <v>1</v>
      </c>
      <c r="U122" s="4" t="n">
        <f aca="false">T122/(1-0.33)</f>
        <v>1.49253731343284</v>
      </c>
      <c r="V122" s="4" t="n">
        <v>1</v>
      </c>
      <c r="W122" s="4" t="n">
        <v>1</v>
      </c>
      <c r="X122" s="4" t="n">
        <v>1</v>
      </c>
      <c r="Y122" s="4" t="n">
        <v>0.95</v>
      </c>
      <c r="Z122" s="4" t="n">
        <v>1</v>
      </c>
      <c r="AA122" s="4" t="n">
        <v>0.975</v>
      </c>
      <c r="AB122" s="4" t="n">
        <v>1</v>
      </c>
      <c r="AC122" s="4" t="n">
        <v>1</v>
      </c>
      <c r="AD122" s="4" t="n">
        <f aca="false">AC122/(1-0.1)</f>
        <v>1.11111111111111</v>
      </c>
      <c r="AE122" s="4" t="n">
        <f aca="false">AC122/(1-0.15)</f>
        <v>1.17647058823529</v>
      </c>
      <c r="AF122" s="4" t="n">
        <f aca="false">AC122/(1-0.2)</f>
        <v>1.25</v>
      </c>
      <c r="AG122" s="4" t="n">
        <f aca="false">AC122/(1-0.24)</f>
        <v>1.31578947368421</v>
      </c>
      <c r="AH122" s="4" t="n">
        <v>1</v>
      </c>
      <c r="AI122" s="4" t="n">
        <v>1</v>
      </c>
      <c r="AJ122" s="4" t="n">
        <v>1</v>
      </c>
      <c r="AK122" s="4" t="n">
        <v>1</v>
      </c>
      <c r="AL122" s="4" t="n">
        <v>1</v>
      </c>
      <c r="AM122" s="4" t="n">
        <v>0.514221</v>
      </c>
      <c r="AN122" s="4" t="n">
        <v>1</v>
      </c>
      <c r="AO122" s="4" t="n">
        <v>0.84</v>
      </c>
      <c r="AP122" s="4" t="n">
        <v>0.83</v>
      </c>
      <c r="AQ122" s="4" t="n">
        <v>0.82</v>
      </c>
      <c r="AR122" s="4" t="n">
        <v>0.81</v>
      </c>
      <c r="AS122" s="4" t="n">
        <v>0.805</v>
      </c>
      <c r="AT122" s="4" t="n">
        <v>0.8</v>
      </c>
      <c r="AU122" s="4" t="n">
        <v>1</v>
      </c>
      <c r="AV122" s="4" t="n">
        <v>1</v>
      </c>
      <c r="AW122" s="4" t="n">
        <v>1</v>
      </c>
      <c r="AX122" s="4" t="n">
        <v>1</v>
      </c>
      <c r="AY122" s="4" t="n">
        <v>1</v>
      </c>
      <c r="AZ122" s="5" t="n">
        <v>1</v>
      </c>
      <c r="BA122" s="5" t="n">
        <v>0.4</v>
      </c>
      <c r="BB122" s="5" t="n">
        <v>1</v>
      </c>
      <c r="BC122" s="5" t="n">
        <v>1</v>
      </c>
      <c r="BD122" s="5" t="n">
        <v>1</v>
      </c>
      <c r="BE122" s="5" t="n">
        <v>1</v>
      </c>
      <c r="BF122" s="5" t="n">
        <v>1</v>
      </c>
      <c r="BG122" s="5" t="n">
        <f aca="false">BF122/(1-0.2)</f>
        <v>1.25</v>
      </c>
      <c r="BH122" s="5" t="n">
        <f aca="false">BF122/(1-0.25)</f>
        <v>1.33333333333333</v>
      </c>
      <c r="BI122" s="5" t="n">
        <v>1</v>
      </c>
      <c r="BJ122" s="5" t="n">
        <v>1</v>
      </c>
      <c r="BK122" s="5" t="n">
        <v>0.9716</v>
      </c>
      <c r="BL122" s="5" t="n">
        <v>1</v>
      </c>
      <c r="BM122" s="5" t="n">
        <v>0.94</v>
      </c>
    </row>
    <row r="123" customFormat="false" ht="15.75" hidden="false" customHeight="true" outlineLevel="0" collapsed="false">
      <c r="A123" s="2" t="n">
        <v>121</v>
      </c>
      <c r="B123" s="2" t="n">
        <v>1</v>
      </c>
      <c r="C123" s="4" t="n">
        <v>1</v>
      </c>
      <c r="D123" s="4" t="n">
        <v>1</v>
      </c>
      <c r="E123" s="4" t="n">
        <v>1</v>
      </c>
      <c r="F123" s="4" t="n">
        <v>1</v>
      </c>
      <c r="G123" s="4" t="n">
        <v>0.925</v>
      </c>
      <c r="H123" s="4" t="n">
        <v>1</v>
      </c>
      <c r="I123" s="4" t="n">
        <v>1</v>
      </c>
      <c r="J123" s="4" t="n">
        <v>0.99</v>
      </c>
      <c r="K123" s="4" t="n">
        <v>1</v>
      </c>
      <c r="L123" s="5" t="n">
        <v>1</v>
      </c>
      <c r="M123" s="5" t="n">
        <f aca="false">L123/(1-0.19)</f>
        <v>1.23456790123457</v>
      </c>
      <c r="N123" s="5" t="n">
        <f aca="false">L123/(1-0.183)</f>
        <v>1.22399020807834</v>
      </c>
      <c r="O123" s="5" t="n">
        <v>1</v>
      </c>
      <c r="P123" s="5" t="n">
        <v>1</v>
      </c>
      <c r="Q123" s="5" t="n">
        <v>1</v>
      </c>
      <c r="R123" s="5" t="n">
        <v>0.975</v>
      </c>
      <c r="S123" s="4" t="n">
        <v>1</v>
      </c>
      <c r="T123" s="4" t="n">
        <v>1</v>
      </c>
      <c r="U123" s="4" t="n">
        <f aca="false">T123/(1-0.33)</f>
        <v>1.49253731343284</v>
      </c>
      <c r="V123" s="4" t="n">
        <v>1</v>
      </c>
      <c r="W123" s="4" t="n">
        <v>1</v>
      </c>
      <c r="X123" s="4" t="n">
        <v>1</v>
      </c>
      <c r="Y123" s="4" t="n">
        <v>0.95</v>
      </c>
      <c r="Z123" s="4" t="n">
        <v>1</v>
      </c>
      <c r="AA123" s="4" t="n">
        <v>0.975</v>
      </c>
      <c r="AB123" s="4" t="n">
        <v>1</v>
      </c>
      <c r="AC123" s="4" t="n">
        <v>1</v>
      </c>
      <c r="AD123" s="4" t="n">
        <f aca="false">AC123/(1-0.1)</f>
        <v>1.11111111111111</v>
      </c>
      <c r="AE123" s="4" t="n">
        <f aca="false">AC123/(1-0.15)</f>
        <v>1.17647058823529</v>
      </c>
      <c r="AF123" s="4" t="n">
        <f aca="false">AC123/(1-0.2)</f>
        <v>1.25</v>
      </c>
      <c r="AG123" s="4" t="n">
        <f aca="false">AC123/(1-0.24)</f>
        <v>1.31578947368421</v>
      </c>
      <c r="AH123" s="4" t="n">
        <v>1</v>
      </c>
      <c r="AI123" s="4" t="n">
        <v>1</v>
      </c>
      <c r="AJ123" s="4" t="n">
        <v>1</v>
      </c>
      <c r="AK123" s="4" t="n">
        <v>1</v>
      </c>
      <c r="AL123" s="4" t="n">
        <v>1</v>
      </c>
      <c r="AM123" s="4" t="n">
        <v>0.536722</v>
      </c>
      <c r="AN123" s="4" t="n">
        <v>1</v>
      </c>
      <c r="AO123" s="4" t="n">
        <v>0.84</v>
      </c>
      <c r="AP123" s="4" t="n">
        <v>0.83</v>
      </c>
      <c r="AQ123" s="4" t="n">
        <v>0.82</v>
      </c>
      <c r="AR123" s="4" t="n">
        <v>0.81</v>
      </c>
      <c r="AS123" s="4" t="n">
        <v>0.805</v>
      </c>
      <c r="AT123" s="4" t="n">
        <v>0.8</v>
      </c>
      <c r="AU123" s="4" t="n">
        <v>1</v>
      </c>
      <c r="AV123" s="4" t="n">
        <v>1</v>
      </c>
      <c r="AW123" s="4" t="n">
        <v>1</v>
      </c>
      <c r="AX123" s="4" t="n">
        <v>1</v>
      </c>
      <c r="AY123" s="4" t="n">
        <v>1</v>
      </c>
      <c r="AZ123" s="5" t="n">
        <v>1</v>
      </c>
      <c r="BA123" s="5" t="n">
        <v>1</v>
      </c>
      <c r="BB123" s="5" t="n">
        <v>1</v>
      </c>
      <c r="BC123" s="5" t="n">
        <v>1</v>
      </c>
      <c r="BD123" s="5" t="n">
        <v>1</v>
      </c>
      <c r="BE123" s="5" t="n">
        <v>1</v>
      </c>
      <c r="BF123" s="5" t="n">
        <v>1</v>
      </c>
      <c r="BG123" s="5" t="n">
        <f aca="false">BF123/(1-0.2)</f>
        <v>1.25</v>
      </c>
      <c r="BH123" s="5" t="n">
        <f aca="false">BF123/(1-0.25)</f>
        <v>1.33333333333333</v>
      </c>
      <c r="BI123" s="5" t="n">
        <v>1</v>
      </c>
      <c r="BJ123" s="5" t="n">
        <v>1</v>
      </c>
      <c r="BK123" s="5" t="n">
        <v>1</v>
      </c>
      <c r="BL123" s="5" t="n">
        <v>1</v>
      </c>
      <c r="BM123" s="5" t="n">
        <v>0.94</v>
      </c>
    </row>
    <row r="124" customFormat="false" ht="15.75" hidden="false" customHeight="true" outlineLevel="0" collapsed="false">
      <c r="A124" s="2" t="n">
        <v>122</v>
      </c>
      <c r="B124" s="2" t="n">
        <v>1</v>
      </c>
      <c r="C124" s="4" t="n">
        <v>1</v>
      </c>
      <c r="D124" s="4" t="n">
        <v>1</v>
      </c>
      <c r="E124" s="4" t="n">
        <v>1</v>
      </c>
      <c r="F124" s="4" t="n">
        <v>1</v>
      </c>
      <c r="G124" s="4" t="n">
        <v>0.925</v>
      </c>
      <c r="H124" s="4" t="n">
        <v>1</v>
      </c>
      <c r="I124" s="4" t="n">
        <v>1</v>
      </c>
      <c r="J124" s="4" t="n">
        <v>0.99</v>
      </c>
      <c r="K124" s="4" t="n">
        <v>1</v>
      </c>
      <c r="L124" s="5" t="n">
        <v>1</v>
      </c>
      <c r="M124" s="5" t="n">
        <f aca="false">L124/(1-0.19)</f>
        <v>1.23456790123457</v>
      </c>
      <c r="N124" s="5" t="n">
        <f aca="false">L124/(1-0.183)</f>
        <v>1.22399020807834</v>
      </c>
      <c r="O124" s="5" t="n">
        <v>1</v>
      </c>
      <c r="P124" s="5" t="n">
        <v>1</v>
      </c>
      <c r="Q124" s="5" t="n">
        <v>1</v>
      </c>
      <c r="R124" s="5" t="n">
        <v>0.975</v>
      </c>
      <c r="S124" s="4" t="n">
        <v>1</v>
      </c>
      <c r="T124" s="4" t="n">
        <v>1</v>
      </c>
      <c r="U124" s="4" t="n">
        <f aca="false">T124/(1-0.33)</f>
        <v>1.49253731343284</v>
      </c>
      <c r="V124" s="4" t="n">
        <v>1</v>
      </c>
      <c r="W124" s="4" t="n">
        <v>1</v>
      </c>
      <c r="X124" s="4" t="n">
        <v>1</v>
      </c>
      <c r="Y124" s="4" t="n">
        <v>0.95</v>
      </c>
      <c r="Z124" s="4" t="n">
        <v>1</v>
      </c>
      <c r="AA124" s="4" t="n">
        <v>0.975</v>
      </c>
      <c r="AB124" s="4" t="n">
        <v>1</v>
      </c>
      <c r="AC124" s="4" t="n">
        <v>1</v>
      </c>
      <c r="AD124" s="4" t="n">
        <f aca="false">AC124/(1-0.1)</f>
        <v>1.11111111111111</v>
      </c>
      <c r="AE124" s="4" t="n">
        <f aca="false">AC124/(1-0.15)</f>
        <v>1.17647058823529</v>
      </c>
      <c r="AF124" s="4" t="n">
        <f aca="false">AC124/(1-0.2)</f>
        <v>1.25</v>
      </c>
      <c r="AG124" s="4" t="n">
        <f aca="false">AC124/(1-0.24)</f>
        <v>1.31578947368421</v>
      </c>
      <c r="AH124" s="4" t="n">
        <v>1</v>
      </c>
      <c r="AI124" s="4" t="n">
        <v>1</v>
      </c>
      <c r="AJ124" s="4" t="n">
        <v>1</v>
      </c>
      <c r="AK124" s="4" t="n">
        <v>1</v>
      </c>
      <c r="AL124" s="4" t="n">
        <v>1</v>
      </c>
      <c r="AM124" s="4" t="n">
        <v>0.55975</v>
      </c>
      <c r="AN124" s="4" t="n">
        <v>1</v>
      </c>
      <c r="AO124" s="4" t="n">
        <v>0.84</v>
      </c>
      <c r="AP124" s="4" t="n">
        <v>0.83</v>
      </c>
      <c r="AQ124" s="4" t="n">
        <v>0.82</v>
      </c>
      <c r="AR124" s="4" t="n">
        <v>0.81</v>
      </c>
      <c r="AS124" s="4" t="n">
        <v>0.805</v>
      </c>
      <c r="AT124" s="4" t="n">
        <v>0.8</v>
      </c>
      <c r="AU124" s="4" t="n">
        <v>1</v>
      </c>
      <c r="AV124" s="4" t="n">
        <v>1</v>
      </c>
      <c r="AW124" s="4" t="n">
        <v>1</v>
      </c>
      <c r="AX124" s="4" t="n">
        <v>1</v>
      </c>
      <c r="AY124" s="4" t="n">
        <v>1</v>
      </c>
      <c r="AZ124" s="5" t="n">
        <v>1</v>
      </c>
      <c r="BA124" s="5" t="n">
        <v>1</v>
      </c>
      <c r="BB124" s="5" t="n">
        <v>1</v>
      </c>
      <c r="BC124" s="5" t="n">
        <v>1</v>
      </c>
      <c r="BD124" s="5" t="n">
        <v>1</v>
      </c>
      <c r="BE124" s="5" t="n">
        <v>1</v>
      </c>
      <c r="BF124" s="5" t="n">
        <v>1</v>
      </c>
      <c r="BG124" s="5" t="n">
        <f aca="false">BF124/(1-0.2)</f>
        <v>1.25</v>
      </c>
      <c r="BH124" s="5" t="n">
        <f aca="false">BF124/(1-0.25)</f>
        <v>1.33333333333333</v>
      </c>
      <c r="BI124" s="5" t="n">
        <v>1</v>
      </c>
      <c r="BJ124" s="5" t="n">
        <v>1</v>
      </c>
      <c r="BK124" s="5" t="n">
        <v>1</v>
      </c>
      <c r="BL124" s="5" t="n">
        <v>1</v>
      </c>
      <c r="BM124" s="5" t="n">
        <v>0.94</v>
      </c>
    </row>
    <row r="125" customFormat="false" ht="15.75" hidden="false" customHeight="true" outlineLevel="0" collapsed="false">
      <c r="A125" s="2" t="n">
        <v>123</v>
      </c>
      <c r="B125" s="2" t="n">
        <v>1</v>
      </c>
      <c r="C125" s="4" t="n">
        <v>1</v>
      </c>
      <c r="D125" s="4" t="n">
        <v>1</v>
      </c>
      <c r="E125" s="4" t="n">
        <v>1</v>
      </c>
      <c r="F125" s="4" t="n">
        <v>1</v>
      </c>
      <c r="G125" s="4" t="n">
        <v>0.925</v>
      </c>
      <c r="H125" s="4" t="n">
        <v>1</v>
      </c>
      <c r="I125" s="4" t="n">
        <v>1</v>
      </c>
      <c r="J125" s="4" t="n">
        <v>0.99</v>
      </c>
      <c r="K125" s="4" t="n">
        <v>1</v>
      </c>
      <c r="L125" s="5" t="n">
        <v>1</v>
      </c>
      <c r="M125" s="5" t="n">
        <f aca="false">L125/(1-0.19)</f>
        <v>1.23456790123457</v>
      </c>
      <c r="N125" s="5" t="n">
        <f aca="false">L125/(1-0.183)</f>
        <v>1.22399020807834</v>
      </c>
      <c r="O125" s="5" t="n">
        <v>1</v>
      </c>
      <c r="P125" s="5" t="n">
        <v>1</v>
      </c>
      <c r="Q125" s="5" t="n">
        <v>1</v>
      </c>
      <c r="R125" s="5" t="n">
        <v>0.975</v>
      </c>
      <c r="S125" s="4" t="n">
        <v>1</v>
      </c>
      <c r="T125" s="4" t="n">
        <v>1</v>
      </c>
      <c r="U125" s="4" t="n">
        <f aca="false">T125/(1-0.33)</f>
        <v>1.49253731343284</v>
      </c>
      <c r="V125" s="4" t="n">
        <v>1</v>
      </c>
      <c r="W125" s="4" t="n">
        <v>1</v>
      </c>
      <c r="X125" s="4" t="n">
        <v>1</v>
      </c>
      <c r="Y125" s="4" t="n">
        <v>0.95</v>
      </c>
      <c r="Z125" s="4" t="n">
        <v>1</v>
      </c>
      <c r="AA125" s="4" t="n">
        <v>0.975</v>
      </c>
      <c r="AB125" s="4" t="n">
        <v>1</v>
      </c>
      <c r="AC125" s="4" t="n">
        <v>1</v>
      </c>
      <c r="AD125" s="4" t="n">
        <f aca="false">AC125/(1-0.1)</f>
        <v>1.11111111111111</v>
      </c>
      <c r="AE125" s="4" t="n">
        <f aca="false">AC125/(1-0.15)</f>
        <v>1.17647058823529</v>
      </c>
      <c r="AF125" s="4" t="n">
        <f aca="false">AC125/(1-0.2)</f>
        <v>1.25</v>
      </c>
      <c r="AG125" s="4" t="n">
        <f aca="false">AC125/(1-0.24)</f>
        <v>1.31578947368421</v>
      </c>
      <c r="AH125" s="4" t="n">
        <v>1</v>
      </c>
      <c r="AI125" s="4" t="n">
        <v>1</v>
      </c>
      <c r="AJ125" s="4" t="n">
        <v>1</v>
      </c>
      <c r="AK125" s="4" t="n">
        <v>1</v>
      </c>
      <c r="AL125" s="4" t="n">
        <v>1</v>
      </c>
      <c r="AM125" s="4" t="n">
        <v>0.583306</v>
      </c>
      <c r="AN125" s="4" t="n">
        <v>1</v>
      </c>
      <c r="AO125" s="4" t="n">
        <v>0.84</v>
      </c>
      <c r="AP125" s="4" t="n">
        <v>0.83</v>
      </c>
      <c r="AQ125" s="4" t="n">
        <v>0.82</v>
      </c>
      <c r="AR125" s="4" t="n">
        <v>0.81</v>
      </c>
      <c r="AS125" s="4" t="n">
        <v>0.805</v>
      </c>
      <c r="AT125" s="4" t="n">
        <v>0.8</v>
      </c>
      <c r="AU125" s="4" t="n">
        <v>1</v>
      </c>
      <c r="AV125" s="4" t="n">
        <v>1</v>
      </c>
      <c r="AW125" s="4" t="n">
        <v>1</v>
      </c>
      <c r="AX125" s="4" t="n">
        <v>1</v>
      </c>
      <c r="AY125" s="4" t="n">
        <v>1</v>
      </c>
      <c r="AZ125" s="5" t="n">
        <v>1</v>
      </c>
      <c r="BA125" s="5" t="n">
        <v>1</v>
      </c>
      <c r="BB125" s="5" t="n">
        <v>1</v>
      </c>
      <c r="BC125" s="5" t="n">
        <v>1</v>
      </c>
      <c r="BD125" s="5" t="n">
        <v>1</v>
      </c>
      <c r="BE125" s="5" t="n">
        <v>1</v>
      </c>
      <c r="BF125" s="5" t="n">
        <v>1</v>
      </c>
      <c r="BG125" s="5" t="n">
        <f aca="false">BF125/(1-0.2)</f>
        <v>1.25</v>
      </c>
      <c r="BH125" s="5" t="n">
        <f aca="false">BF125/(1-0.25)</f>
        <v>1.33333333333333</v>
      </c>
      <c r="BI125" s="5" t="n">
        <v>1</v>
      </c>
      <c r="BJ125" s="5" t="n">
        <v>1</v>
      </c>
      <c r="BK125" s="5" t="n">
        <v>1</v>
      </c>
      <c r="BL125" s="5" t="n">
        <v>1</v>
      </c>
      <c r="BM125" s="5" t="n">
        <v>0.94</v>
      </c>
    </row>
    <row r="126" customFormat="false" ht="15.75" hidden="false" customHeight="true" outlineLevel="0" collapsed="false">
      <c r="A126" s="2" t="n">
        <v>124</v>
      </c>
      <c r="B126" s="2" t="n">
        <v>1</v>
      </c>
      <c r="C126" s="4" t="n">
        <v>1</v>
      </c>
      <c r="D126" s="4" t="n">
        <v>1</v>
      </c>
      <c r="E126" s="4" t="n">
        <v>1</v>
      </c>
      <c r="F126" s="4" t="n">
        <v>1</v>
      </c>
      <c r="G126" s="4" t="n">
        <v>0.925</v>
      </c>
      <c r="H126" s="4" t="n">
        <v>1</v>
      </c>
      <c r="I126" s="4" t="n">
        <v>1</v>
      </c>
      <c r="J126" s="4" t="n">
        <v>0.99</v>
      </c>
      <c r="K126" s="4" t="n">
        <v>1</v>
      </c>
      <c r="L126" s="5" t="n">
        <v>1</v>
      </c>
      <c r="M126" s="5" t="n">
        <f aca="false">L126/(1-0.19)</f>
        <v>1.23456790123457</v>
      </c>
      <c r="N126" s="5" t="n">
        <f aca="false">L126/(1-0.183)</f>
        <v>1.22399020807834</v>
      </c>
      <c r="O126" s="5" t="n">
        <v>1</v>
      </c>
      <c r="P126" s="5" t="n">
        <v>1</v>
      </c>
      <c r="Q126" s="5" t="n">
        <v>1</v>
      </c>
      <c r="R126" s="5" t="n">
        <v>0.975</v>
      </c>
      <c r="S126" s="4" t="n">
        <v>1</v>
      </c>
      <c r="T126" s="4" t="n">
        <v>1</v>
      </c>
      <c r="U126" s="4" t="n">
        <f aca="false">T126/(1-0.33)</f>
        <v>1.49253731343284</v>
      </c>
      <c r="V126" s="4" t="n">
        <v>1</v>
      </c>
      <c r="W126" s="4" t="n">
        <v>1</v>
      </c>
      <c r="X126" s="4" t="n">
        <v>1</v>
      </c>
      <c r="Y126" s="4" t="n">
        <v>0.95</v>
      </c>
      <c r="Z126" s="4" t="n">
        <v>1</v>
      </c>
      <c r="AA126" s="4" t="n">
        <v>0.975</v>
      </c>
      <c r="AB126" s="4" t="n">
        <v>1</v>
      </c>
      <c r="AC126" s="4" t="n">
        <v>1</v>
      </c>
      <c r="AD126" s="4" t="n">
        <f aca="false">AC126/(1-0.1)</f>
        <v>1.11111111111111</v>
      </c>
      <c r="AE126" s="4" t="n">
        <f aca="false">AC126/(1-0.15)</f>
        <v>1.17647058823529</v>
      </c>
      <c r="AF126" s="4" t="n">
        <f aca="false">AC126/(1-0.2)</f>
        <v>1.25</v>
      </c>
      <c r="AG126" s="4" t="n">
        <f aca="false">AC126/(1-0.24)</f>
        <v>1.31578947368421</v>
      </c>
      <c r="AH126" s="4" t="n">
        <v>1</v>
      </c>
      <c r="AI126" s="4" t="n">
        <v>1</v>
      </c>
      <c r="AJ126" s="4" t="n">
        <v>1</v>
      </c>
      <c r="AK126" s="4" t="n">
        <v>1</v>
      </c>
      <c r="AL126" s="4" t="n">
        <v>1</v>
      </c>
      <c r="AM126" s="4" t="n">
        <v>0.607391</v>
      </c>
      <c r="AN126" s="4" t="n">
        <v>1</v>
      </c>
      <c r="AO126" s="4" t="n">
        <v>0.84</v>
      </c>
      <c r="AP126" s="4" t="n">
        <v>0.83</v>
      </c>
      <c r="AQ126" s="4" t="n">
        <v>0.82</v>
      </c>
      <c r="AR126" s="4" t="n">
        <v>0.81</v>
      </c>
      <c r="AS126" s="4" t="n">
        <v>0.805</v>
      </c>
      <c r="AT126" s="4" t="n">
        <v>0.8</v>
      </c>
      <c r="AU126" s="4" t="n">
        <v>1</v>
      </c>
      <c r="AV126" s="4" t="n">
        <v>1</v>
      </c>
      <c r="AW126" s="4" t="n">
        <v>1</v>
      </c>
      <c r="AX126" s="4" t="n">
        <v>1</v>
      </c>
      <c r="AY126" s="4" t="n">
        <v>1</v>
      </c>
      <c r="AZ126" s="5" t="n">
        <v>1</v>
      </c>
      <c r="BA126" s="5" t="n">
        <v>1</v>
      </c>
      <c r="BB126" s="5" t="n">
        <v>1</v>
      </c>
      <c r="BC126" s="5" t="n">
        <v>1</v>
      </c>
      <c r="BD126" s="5" t="n">
        <v>1</v>
      </c>
      <c r="BE126" s="5" t="n">
        <v>1</v>
      </c>
      <c r="BF126" s="5" t="n">
        <v>1</v>
      </c>
      <c r="BG126" s="5" t="n">
        <f aca="false">BF126/(1-0.2)</f>
        <v>1.25</v>
      </c>
      <c r="BH126" s="5" t="n">
        <f aca="false">BF126/(1-0.25)</f>
        <v>1.33333333333333</v>
      </c>
      <c r="BI126" s="5" t="n">
        <v>1</v>
      </c>
      <c r="BJ126" s="5" t="n">
        <v>1</v>
      </c>
      <c r="BK126" s="5" t="n">
        <v>1</v>
      </c>
      <c r="BL126" s="5" t="n">
        <v>1</v>
      </c>
      <c r="BM126" s="5" t="n">
        <v>0.94</v>
      </c>
    </row>
    <row r="127" customFormat="false" ht="15.75" hidden="false" customHeight="true" outlineLevel="0" collapsed="false">
      <c r="A127" s="2" t="n">
        <v>125</v>
      </c>
      <c r="B127" s="2" t="n">
        <v>1</v>
      </c>
      <c r="C127" s="4" t="n">
        <v>1</v>
      </c>
      <c r="D127" s="4" t="n">
        <v>1</v>
      </c>
      <c r="E127" s="4" t="n">
        <v>1</v>
      </c>
      <c r="F127" s="4" t="n">
        <v>1</v>
      </c>
      <c r="G127" s="4" t="n">
        <v>0.925</v>
      </c>
      <c r="H127" s="4" t="n">
        <v>1</v>
      </c>
      <c r="I127" s="4" t="n">
        <v>1</v>
      </c>
      <c r="J127" s="4" t="n">
        <v>0.99</v>
      </c>
      <c r="K127" s="4" t="n">
        <v>1</v>
      </c>
      <c r="L127" s="5" t="n">
        <v>1</v>
      </c>
      <c r="M127" s="5" t="n">
        <f aca="false">L127/(1-0.19)</f>
        <v>1.23456790123457</v>
      </c>
      <c r="N127" s="5" t="n">
        <f aca="false">L127/(1-0.183)</f>
        <v>1.22399020807834</v>
      </c>
      <c r="O127" s="5" t="n">
        <v>1</v>
      </c>
      <c r="P127" s="5" t="n">
        <v>1</v>
      </c>
      <c r="Q127" s="5" t="n">
        <v>1</v>
      </c>
      <c r="R127" s="5" t="n">
        <v>0.975</v>
      </c>
      <c r="S127" s="4" t="n">
        <v>1</v>
      </c>
      <c r="T127" s="4" t="n">
        <v>1</v>
      </c>
      <c r="U127" s="4" t="n">
        <f aca="false">T127/(1-0.33)</f>
        <v>1.49253731343284</v>
      </c>
      <c r="V127" s="4" t="n">
        <v>1</v>
      </c>
      <c r="W127" s="4" t="n">
        <v>1</v>
      </c>
      <c r="X127" s="4" t="n">
        <v>1</v>
      </c>
      <c r="Y127" s="4" t="n">
        <v>0.95</v>
      </c>
      <c r="Z127" s="4" t="n">
        <v>1</v>
      </c>
      <c r="AA127" s="4" t="n">
        <v>0.975</v>
      </c>
      <c r="AB127" s="4" t="n">
        <v>1</v>
      </c>
      <c r="AC127" s="4" t="n">
        <v>1</v>
      </c>
      <c r="AD127" s="4" t="n">
        <f aca="false">AC127/(1-0.1)</f>
        <v>1.11111111111111</v>
      </c>
      <c r="AE127" s="4" t="n">
        <f aca="false">AC127/(1-0.15)</f>
        <v>1.17647058823529</v>
      </c>
      <c r="AF127" s="4" t="n">
        <f aca="false">AC127/(1-0.2)</f>
        <v>1.25</v>
      </c>
      <c r="AG127" s="4" t="n">
        <f aca="false">AC127/(1-0.24)</f>
        <v>1.31578947368421</v>
      </c>
      <c r="AH127" s="4" t="n">
        <v>1</v>
      </c>
      <c r="AI127" s="4" t="n">
        <v>1</v>
      </c>
      <c r="AJ127" s="4" t="n">
        <v>1</v>
      </c>
      <c r="AK127" s="4" t="n">
        <v>1</v>
      </c>
      <c r="AL127" s="4" t="n">
        <v>1</v>
      </c>
      <c r="AM127" s="4" t="n">
        <v>0.632003</v>
      </c>
      <c r="AN127" s="4" t="n">
        <v>1</v>
      </c>
      <c r="AO127" s="4" t="n">
        <v>0.84</v>
      </c>
      <c r="AP127" s="4" t="n">
        <v>0.83</v>
      </c>
      <c r="AQ127" s="4" t="n">
        <v>0.82</v>
      </c>
      <c r="AR127" s="4" t="n">
        <v>0.81</v>
      </c>
      <c r="AS127" s="4" t="n">
        <v>0.805</v>
      </c>
      <c r="AT127" s="4" t="n">
        <v>0.8</v>
      </c>
      <c r="AU127" s="4" t="n">
        <v>1</v>
      </c>
      <c r="AV127" s="4" t="n">
        <v>1</v>
      </c>
      <c r="AW127" s="4" t="n">
        <v>1</v>
      </c>
      <c r="AX127" s="4" t="n">
        <v>1</v>
      </c>
      <c r="AY127" s="4" t="n">
        <v>1</v>
      </c>
      <c r="AZ127" s="5" t="n">
        <v>1</v>
      </c>
      <c r="BA127" s="5" t="n">
        <v>1</v>
      </c>
      <c r="BB127" s="5" t="n">
        <v>1</v>
      </c>
      <c r="BC127" s="5" t="n">
        <v>1</v>
      </c>
      <c r="BD127" s="5" t="n">
        <v>1</v>
      </c>
      <c r="BE127" s="5" t="n">
        <v>1</v>
      </c>
      <c r="BF127" s="5" t="n">
        <v>1</v>
      </c>
      <c r="BG127" s="5" t="n">
        <f aca="false">BF127/(1-0.2)</f>
        <v>1.25</v>
      </c>
      <c r="BH127" s="5" t="n">
        <f aca="false">BF127/(1-0.25)</f>
        <v>1.33333333333333</v>
      </c>
      <c r="BI127" s="5" t="n">
        <v>1</v>
      </c>
      <c r="BJ127" s="5" t="n">
        <v>1</v>
      </c>
      <c r="BK127" s="5" t="n">
        <v>1</v>
      </c>
      <c r="BL127" s="5" t="n">
        <v>1</v>
      </c>
      <c r="BM127" s="5" t="n">
        <v>0.94</v>
      </c>
    </row>
    <row r="128" customFormat="false" ht="15.75" hidden="false" customHeight="true" outlineLevel="0" collapsed="false">
      <c r="A128" s="2" t="n">
        <v>126</v>
      </c>
      <c r="B128" s="2" t="n">
        <v>1</v>
      </c>
      <c r="C128" s="4" t="n">
        <v>1</v>
      </c>
      <c r="D128" s="4" t="n">
        <v>1</v>
      </c>
      <c r="E128" s="4" t="n">
        <v>1</v>
      </c>
      <c r="F128" s="4" t="n">
        <v>1</v>
      </c>
      <c r="G128" s="4" t="n">
        <v>0.925</v>
      </c>
      <c r="H128" s="4" t="n">
        <v>1</v>
      </c>
      <c r="I128" s="4" t="n">
        <v>1</v>
      </c>
      <c r="J128" s="4" t="n">
        <v>0.99</v>
      </c>
      <c r="K128" s="4" t="n">
        <v>1</v>
      </c>
      <c r="L128" s="5" t="n">
        <v>1</v>
      </c>
      <c r="M128" s="5" t="n">
        <f aca="false">L128/(1-0.19)</f>
        <v>1.23456790123457</v>
      </c>
      <c r="N128" s="5" t="n">
        <f aca="false">L128/(1-0.183)</f>
        <v>1.22399020807834</v>
      </c>
      <c r="O128" s="5" t="n">
        <v>1</v>
      </c>
      <c r="P128" s="5" t="n">
        <v>1</v>
      </c>
      <c r="Q128" s="5" t="n">
        <v>1</v>
      </c>
      <c r="R128" s="5" t="n">
        <v>0.975</v>
      </c>
      <c r="S128" s="4" t="n">
        <v>1</v>
      </c>
      <c r="T128" s="4" t="n">
        <v>1</v>
      </c>
      <c r="U128" s="4" t="n">
        <f aca="false">T128/(1-0.33)</f>
        <v>1.49253731343284</v>
      </c>
      <c r="V128" s="4" t="n">
        <v>1</v>
      </c>
      <c r="W128" s="4" t="n">
        <v>1</v>
      </c>
      <c r="X128" s="4" t="n">
        <v>1</v>
      </c>
      <c r="Y128" s="4" t="n">
        <v>0.95</v>
      </c>
      <c r="Z128" s="4" t="n">
        <v>1</v>
      </c>
      <c r="AA128" s="4" t="n">
        <v>0.975</v>
      </c>
      <c r="AB128" s="4" t="n">
        <v>1</v>
      </c>
      <c r="AC128" s="4" t="n">
        <v>1</v>
      </c>
      <c r="AD128" s="4" t="n">
        <f aca="false">AC128/(1-0.1)</f>
        <v>1.11111111111111</v>
      </c>
      <c r="AE128" s="4" t="n">
        <f aca="false">AC128/(1-0.15)</f>
        <v>1.17647058823529</v>
      </c>
      <c r="AF128" s="4" t="n">
        <f aca="false">AC128/(1-0.2)</f>
        <v>1.25</v>
      </c>
      <c r="AG128" s="4" t="n">
        <f aca="false">AC128/(1-0.24)</f>
        <v>1.31578947368421</v>
      </c>
      <c r="AH128" s="4" t="n">
        <v>1</v>
      </c>
      <c r="AI128" s="4" t="n">
        <v>1</v>
      </c>
      <c r="AJ128" s="4" t="n">
        <v>1</v>
      </c>
      <c r="AK128" s="4" t="n">
        <v>1</v>
      </c>
      <c r="AL128" s="4" t="n">
        <v>1</v>
      </c>
      <c r="AM128" s="4" t="n">
        <v>1</v>
      </c>
      <c r="AN128" s="4" t="n">
        <v>1</v>
      </c>
      <c r="AO128" s="4" t="n">
        <v>0.84</v>
      </c>
      <c r="AP128" s="4" t="n">
        <v>0.83</v>
      </c>
      <c r="AQ128" s="4" t="n">
        <v>0.82</v>
      </c>
      <c r="AR128" s="4" t="n">
        <v>0.81</v>
      </c>
      <c r="AS128" s="4" t="n">
        <v>0.805</v>
      </c>
      <c r="AT128" s="4" t="n">
        <v>0.8</v>
      </c>
      <c r="AU128" s="4" t="n">
        <v>1</v>
      </c>
      <c r="AV128" s="4" t="n">
        <v>1</v>
      </c>
      <c r="AW128" s="4" t="n">
        <v>1</v>
      </c>
      <c r="AX128" s="4" t="n">
        <v>1</v>
      </c>
      <c r="AY128" s="4" t="n">
        <v>1</v>
      </c>
      <c r="AZ128" s="5" t="n">
        <v>1</v>
      </c>
      <c r="BA128" s="5" t="n">
        <v>1</v>
      </c>
      <c r="BB128" s="5" t="n">
        <v>1</v>
      </c>
      <c r="BC128" s="5" t="n">
        <v>1</v>
      </c>
      <c r="BD128" s="5" t="n">
        <v>1</v>
      </c>
      <c r="BE128" s="5" t="n">
        <v>1</v>
      </c>
      <c r="BF128" s="5" t="n">
        <v>1</v>
      </c>
      <c r="BG128" s="5" t="n">
        <f aca="false">BF128/(1-0.2)</f>
        <v>1.25</v>
      </c>
      <c r="BH128" s="5" t="n">
        <f aca="false">BF128/(1-0.25)</f>
        <v>1.33333333333333</v>
      </c>
      <c r="BI128" s="5" t="n">
        <v>1</v>
      </c>
      <c r="BJ128" s="5" t="n">
        <v>1</v>
      </c>
      <c r="BK128" s="5" t="n">
        <v>1</v>
      </c>
      <c r="BL128" s="5" t="n">
        <v>1</v>
      </c>
      <c r="BM128" s="5" t="n">
        <v>0.94</v>
      </c>
    </row>
    <row r="129" customFormat="false" ht="15.75" hidden="false" customHeight="true" outlineLevel="0" collapsed="false">
      <c r="A129" s="2"/>
      <c r="B129" s="2"/>
      <c r="C129" s="2"/>
      <c r="D129" s="2"/>
      <c r="E129" s="9"/>
      <c r="F129" s="9"/>
      <c r="G129" s="9"/>
      <c r="H129" s="9"/>
      <c r="I129" s="9"/>
      <c r="J129" s="9"/>
      <c r="K129" s="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2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</row>
    <row r="130" customFormat="false" ht="15.75" hidden="false" customHeight="true" outlineLevel="0" collapsed="false">
      <c r="A130" s="2"/>
      <c r="B130" s="2"/>
      <c r="C130" s="2"/>
      <c r="D130" s="2"/>
      <c r="E130" s="9"/>
      <c r="F130" s="9"/>
      <c r="G130" s="9"/>
      <c r="H130" s="9"/>
      <c r="I130" s="9"/>
      <c r="J130" s="9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2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</row>
    <row r="131" customFormat="false" ht="15.75" hidden="false" customHeight="true" outlineLevel="0" collapsed="false">
      <c r="A131" s="2"/>
      <c r="B131" s="2"/>
      <c r="C131" s="2"/>
      <c r="D131" s="2"/>
      <c r="E131" s="9"/>
      <c r="F131" s="9"/>
      <c r="G131" s="9"/>
      <c r="H131" s="9"/>
      <c r="I131" s="9"/>
      <c r="J131" s="9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2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</row>
    <row r="132" customFormat="false" ht="15.75" hidden="false" customHeight="true" outlineLevel="0" collapsed="false">
      <c r="A132" s="2"/>
      <c r="B132" s="2"/>
      <c r="C132" s="2"/>
      <c r="D132" s="2"/>
      <c r="E132" s="9"/>
      <c r="F132" s="9"/>
      <c r="G132" s="9"/>
      <c r="H132" s="9"/>
      <c r="I132" s="9"/>
      <c r="J132" s="9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2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</row>
    <row r="133" customFormat="false" ht="15.75" hidden="false" customHeight="true" outlineLevel="0" collapsed="false">
      <c r="A133" s="2"/>
      <c r="B133" s="2"/>
      <c r="C133" s="2"/>
      <c r="D133" s="2"/>
      <c r="E133" s="9"/>
      <c r="F133" s="9"/>
      <c r="G133" s="9"/>
      <c r="H133" s="9"/>
      <c r="I133" s="9"/>
      <c r="J133" s="9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2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</row>
    <row r="134" customFormat="false" ht="15.75" hidden="false" customHeight="true" outlineLevel="0" collapsed="false">
      <c r="A134" s="2"/>
      <c r="B134" s="2"/>
      <c r="C134" s="2"/>
      <c r="D134" s="2"/>
      <c r="E134" s="9"/>
      <c r="F134" s="9"/>
      <c r="G134" s="9"/>
      <c r="H134" s="9"/>
      <c r="I134" s="9"/>
      <c r="J134" s="9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2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</row>
    <row r="135" customFormat="false" ht="15.75" hidden="false" customHeight="true" outlineLevel="0" collapsed="false">
      <c r="A135" s="2"/>
      <c r="B135" s="2"/>
      <c r="C135" s="2"/>
      <c r="D135" s="2"/>
      <c r="E135" s="9"/>
      <c r="F135" s="9"/>
      <c r="G135" s="9"/>
      <c r="H135" s="9"/>
      <c r="I135" s="9"/>
      <c r="J135" s="9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2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</row>
    <row r="136" customFormat="false" ht="15.75" hidden="false" customHeight="true" outlineLevel="0" collapsed="false">
      <c r="A136" s="2"/>
      <c r="B136" s="2"/>
      <c r="C136" s="2"/>
      <c r="D136" s="2"/>
      <c r="E136" s="9"/>
      <c r="F136" s="9"/>
      <c r="G136" s="9"/>
      <c r="H136" s="9"/>
      <c r="I136" s="9"/>
      <c r="J136" s="9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2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</row>
    <row r="137" customFormat="false" ht="15.75" hidden="false" customHeight="true" outlineLevel="0" collapsed="false">
      <c r="A137" s="2"/>
      <c r="B137" s="2"/>
      <c r="C137" s="2"/>
      <c r="D137" s="2"/>
      <c r="E137" s="9"/>
      <c r="F137" s="9"/>
      <c r="G137" s="9"/>
      <c r="H137" s="9"/>
      <c r="I137" s="9"/>
      <c r="J137" s="9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2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</row>
    <row r="138" customFormat="false" ht="15.75" hidden="false" customHeight="true" outlineLevel="0" collapsed="false">
      <c r="A138" s="2"/>
      <c r="B138" s="2"/>
      <c r="C138" s="2"/>
      <c r="D138" s="2"/>
      <c r="E138" s="9"/>
      <c r="F138" s="9"/>
      <c r="G138" s="9"/>
      <c r="H138" s="9"/>
      <c r="I138" s="9"/>
      <c r="J138" s="9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2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</row>
    <row r="139" customFormat="false" ht="15.75" hidden="false" customHeight="true" outlineLevel="0" collapsed="false">
      <c r="A139" s="2"/>
      <c r="B139" s="2"/>
      <c r="C139" s="2"/>
      <c r="D139" s="2"/>
      <c r="E139" s="9"/>
      <c r="F139" s="9"/>
      <c r="G139" s="9"/>
      <c r="H139" s="9"/>
      <c r="I139" s="9"/>
      <c r="J139" s="9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2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</row>
    <row r="140" customFormat="false" ht="15.75" hidden="false" customHeight="true" outlineLevel="0" collapsed="false">
      <c r="A140" s="2"/>
      <c r="B140" s="2"/>
      <c r="C140" s="2"/>
      <c r="D140" s="2"/>
      <c r="E140" s="9"/>
      <c r="F140" s="9"/>
      <c r="G140" s="9"/>
      <c r="H140" s="9"/>
      <c r="I140" s="9"/>
      <c r="J140" s="9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2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</row>
    <row r="141" customFormat="false" ht="15.75" hidden="false" customHeight="true" outlineLevel="0" collapsed="false">
      <c r="A141" s="2"/>
      <c r="B141" s="2"/>
      <c r="C141" s="2"/>
      <c r="D141" s="2"/>
      <c r="E141" s="9"/>
      <c r="F141" s="9"/>
      <c r="G141" s="9"/>
      <c r="H141" s="9"/>
      <c r="I141" s="9"/>
      <c r="J141" s="9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2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</row>
    <row r="142" customFormat="false" ht="15.75" hidden="false" customHeight="true" outlineLevel="0" collapsed="false">
      <c r="A142" s="2"/>
      <c r="B142" s="2"/>
      <c r="C142" s="2"/>
      <c r="D142" s="2"/>
      <c r="E142" s="9"/>
      <c r="F142" s="9"/>
      <c r="G142" s="9"/>
      <c r="H142" s="9"/>
      <c r="I142" s="9"/>
      <c r="J142" s="9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2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</row>
    <row r="143" customFormat="false" ht="15.75" hidden="false" customHeight="true" outlineLevel="0" collapsed="false">
      <c r="A143" s="2"/>
      <c r="B143" s="2"/>
      <c r="C143" s="2"/>
      <c r="D143" s="2"/>
      <c r="E143" s="9"/>
      <c r="F143" s="9"/>
      <c r="G143" s="9"/>
      <c r="H143" s="9"/>
      <c r="I143" s="9"/>
      <c r="J143" s="9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2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</row>
    <row r="144" customFormat="false" ht="15.75" hidden="false" customHeight="true" outlineLevel="0" collapsed="false">
      <c r="A144" s="2"/>
      <c r="B144" s="2"/>
      <c r="C144" s="2"/>
      <c r="D144" s="2"/>
      <c r="E144" s="9"/>
      <c r="F144" s="9"/>
      <c r="G144" s="9"/>
      <c r="H144" s="9"/>
      <c r="I144" s="9"/>
      <c r="J144" s="9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2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</row>
    <row r="145" customFormat="false" ht="15.75" hidden="false" customHeight="true" outlineLevel="0" collapsed="false">
      <c r="A145" s="2"/>
      <c r="B145" s="2"/>
      <c r="C145" s="2"/>
      <c r="D145" s="2"/>
      <c r="E145" s="9"/>
      <c r="F145" s="9"/>
      <c r="G145" s="9"/>
      <c r="H145" s="9"/>
      <c r="I145" s="9"/>
      <c r="J145" s="9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2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</row>
    <row r="146" customFormat="false" ht="15.75" hidden="false" customHeight="true" outlineLevel="0" collapsed="false">
      <c r="A146" s="2"/>
      <c r="B146" s="2"/>
      <c r="C146" s="2"/>
      <c r="D146" s="2"/>
      <c r="E146" s="9"/>
      <c r="F146" s="9"/>
      <c r="G146" s="9"/>
      <c r="H146" s="9"/>
      <c r="I146" s="9"/>
      <c r="J146" s="9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2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</row>
    <row r="147" customFormat="false" ht="15.75" hidden="false" customHeight="true" outlineLevel="0" collapsed="false">
      <c r="A147" s="2"/>
      <c r="B147" s="2"/>
      <c r="C147" s="2"/>
      <c r="D147" s="2"/>
      <c r="E147" s="9"/>
      <c r="F147" s="9"/>
      <c r="G147" s="9"/>
      <c r="H147" s="9"/>
      <c r="I147" s="9"/>
      <c r="J147" s="9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2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</row>
    <row r="148" customFormat="false" ht="15.75" hidden="false" customHeight="true" outlineLevel="0" collapsed="false">
      <c r="A148" s="2"/>
      <c r="B148" s="2"/>
      <c r="C148" s="2"/>
      <c r="D148" s="2"/>
      <c r="E148" s="9"/>
      <c r="F148" s="9"/>
      <c r="G148" s="9"/>
      <c r="H148" s="9"/>
      <c r="I148" s="9"/>
      <c r="J148" s="9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2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</row>
    <row r="149" customFormat="false" ht="15.75" hidden="false" customHeight="true" outlineLevel="0" collapsed="false">
      <c r="A149" s="2"/>
      <c r="B149" s="2"/>
      <c r="C149" s="2"/>
      <c r="D149" s="2"/>
      <c r="E149" s="9"/>
      <c r="F149" s="9"/>
      <c r="G149" s="9"/>
      <c r="H149" s="9"/>
      <c r="I149" s="9"/>
      <c r="J149" s="9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2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</row>
    <row r="150" customFormat="false" ht="15.75" hidden="false" customHeight="true" outlineLevel="0" collapsed="false">
      <c r="A150" s="2"/>
      <c r="B150" s="2"/>
      <c r="C150" s="2"/>
      <c r="D150" s="2"/>
      <c r="E150" s="9"/>
      <c r="F150" s="9"/>
      <c r="G150" s="9"/>
      <c r="H150" s="9"/>
      <c r="I150" s="9"/>
      <c r="J150" s="9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2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</row>
    <row r="151" customFormat="false" ht="15.75" hidden="false" customHeight="true" outlineLevel="0" collapsed="false">
      <c r="A151" s="2"/>
      <c r="B151" s="2"/>
      <c r="C151" s="2"/>
      <c r="D151" s="2"/>
      <c r="E151" s="9"/>
      <c r="F151" s="9"/>
      <c r="G151" s="9"/>
      <c r="H151" s="9"/>
      <c r="I151" s="9"/>
      <c r="J151" s="9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2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</row>
    <row r="152" customFormat="false" ht="15.75" hidden="false" customHeight="true" outlineLevel="0" collapsed="false">
      <c r="A152" s="2"/>
      <c r="B152" s="2"/>
      <c r="C152" s="2"/>
      <c r="D152" s="2"/>
      <c r="E152" s="9"/>
      <c r="F152" s="9"/>
      <c r="G152" s="9"/>
      <c r="H152" s="9"/>
      <c r="I152" s="9"/>
      <c r="J152" s="9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2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</row>
    <row r="153" customFormat="false" ht="15.75" hidden="false" customHeight="true" outlineLevel="0" collapsed="false">
      <c r="A153" s="2"/>
      <c r="B153" s="2"/>
      <c r="C153" s="2"/>
      <c r="D153" s="2"/>
      <c r="E153" s="9"/>
      <c r="F153" s="9"/>
      <c r="G153" s="9"/>
      <c r="H153" s="9"/>
      <c r="I153" s="9"/>
      <c r="J153" s="9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2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</row>
    <row r="154" customFormat="false" ht="15.75" hidden="false" customHeight="true" outlineLevel="0" collapsed="false">
      <c r="A154" s="2"/>
      <c r="B154" s="2"/>
      <c r="C154" s="2"/>
      <c r="D154" s="2"/>
      <c r="E154" s="9"/>
      <c r="F154" s="9"/>
      <c r="G154" s="9"/>
      <c r="H154" s="9"/>
      <c r="I154" s="9"/>
      <c r="J154" s="9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2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</row>
    <row r="155" customFormat="false" ht="15.75" hidden="false" customHeight="true" outlineLevel="0" collapsed="false">
      <c r="A155" s="2"/>
      <c r="B155" s="2"/>
      <c r="C155" s="2"/>
      <c r="D155" s="2"/>
      <c r="E155" s="9"/>
      <c r="F155" s="9"/>
      <c r="G155" s="9"/>
      <c r="H155" s="9"/>
      <c r="I155" s="9"/>
      <c r="J155" s="9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2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</row>
    <row r="156" customFormat="false" ht="15.75" hidden="false" customHeight="true" outlineLevel="0" collapsed="false">
      <c r="A156" s="2"/>
      <c r="B156" s="2"/>
      <c r="C156" s="2"/>
      <c r="D156" s="2"/>
      <c r="E156" s="9"/>
      <c r="F156" s="9"/>
      <c r="G156" s="9"/>
      <c r="H156" s="9"/>
      <c r="I156" s="9"/>
      <c r="J156" s="9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2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</row>
    <row r="157" customFormat="false" ht="15.75" hidden="false" customHeight="true" outlineLevel="0" collapsed="false">
      <c r="A157" s="2"/>
      <c r="B157" s="2"/>
      <c r="C157" s="2"/>
      <c r="D157" s="2"/>
      <c r="E157" s="9"/>
      <c r="F157" s="9"/>
      <c r="G157" s="9"/>
      <c r="H157" s="9"/>
      <c r="I157" s="9"/>
      <c r="J157" s="9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2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</row>
    <row r="158" customFormat="false" ht="15.75" hidden="false" customHeight="true" outlineLevel="0" collapsed="false">
      <c r="A158" s="2"/>
      <c r="B158" s="2"/>
      <c r="C158" s="2"/>
      <c r="D158" s="2"/>
      <c r="E158" s="9"/>
      <c r="F158" s="9"/>
      <c r="G158" s="9"/>
      <c r="H158" s="9"/>
      <c r="I158" s="9"/>
      <c r="J158" s="9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2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</row>
    <row r="159" customFormat="false" ht="15.75" hidden="false" customHeight="true" outlineLevel="0" collapsed="false">
      <c r="A159" s="2"/>
      <c r="B159" s="2"/>
      <c r="C159" s="2"/>
      <c r="D159" s="2"/>
      <c r="E159" s="9"/>
      <c r="F159" s="9"/>
      <c r="G159" s="9"/>
      <c r="H159" s="9"/>
      <c r="I159" s="9"/>
      <c r="J159" s="9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2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</row>
    <row r="160" customFormat="false" ht="15.75" hidden="false" customHeight="true" outlineLevel="0" collapsed="false">
      <c r="A160" s="2"/>
      <c r="B160" s="2"/>
      <c r="C160" s="2"/>
      <c r="D160" s="2"/>
      <c r="E160" s="9"/>
      <c r="F160" s="9"/>
      <c r="G160" s="9"/>
      <c r="H160" s="9"/>
      <c r="I160" s="9"/>
      <c r="J160" s="9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2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</row>
    <row r="161" customFormat="false" ht="15.75" hidden="false" customHeight="true" outlineLevel="0" collapsed="false">
      <c r="A161" s="2"/>
      <c r="B161" s="2"/>
      <c r="C161" s="2"/>
      <c r="D161" s="2"/>
      <c r="E161" s="9"/>
      <c r="F161" s="9"/>
      <c r="G161" s="9"/>
      <c r="H161" s="9"/>
      <c r="I161" s="9"/>
      <c r="J161" s="9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2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</row>
    <row r="162" customFormat="false" ht="15.75" hidden="false" customHeight="true" outlineLevel="0" collapsed="false">
      <c r="A162" s="2"/>
      <c r="B162" s="2"/>
      <c r="C162" s="2"/>
      <c r="D162" s="2"/>
      <c r="E162" s="9"/>
      <c r="F162" s="9"/>
      <c r="G162" s="9"/>
      <c r="H162" s="9"/>
      <c r="I162" s="9"/>
      <c r="J162" s="9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2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</row>
    <row r="163" customFormat="false" ht="15.75" hidden="false" customHeight="true" outlineLevel="0" collapsed="false">
      <c r="A163" s="2"/>
      <c r="B163" s="2"/>
      <c r="C163" s="2"/>
      <c r="D163" s="2"/>
      <c r="E163" s="9"/>
      <c r="F163" s="9"/>
      <c r="G163" s="9"/>
      <c r="H163" s="9"/>
      <c r="I163" s="9"/>
      <c r="J163" s="9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2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</row>
    <row r="164" customFormat="false" ht="15.75" hidden="false" customHeight="true" outlineLevel="0" collapsed="false">
      <c r="A164" s="2"/>
      <c r="B164" s="2"/>
      <c r="C164" s="2"/>
      <c r="D164" s="2"/>
      <c r="E164" s="9"/>
      <c r="F164" s="9"/>
      <c r="G164" s="9"/>
      <c r="H164" s="9"/>
      <c r="I164" s="9"/>
      <c r="J164" s="9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2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</row>
    <row r="165" customFormat="false" ht="15.75" hidden="false" customHeight="true" outlineLevel="0" collapsed="false">
      <c r="A165" s="2"/>
      <c r="B165" s="2"/>
      <c r="C165" s="2"/>
      <c r="D165" s="2"/>
      <c r="E165" s="9"/>
      <c r="F165" s="9"/>
      <c r="G165" s="9"/>
      <c r="H165" s="9"/>
      <c r="I165" s="9"/>
      <c r="J165" s="9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2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</row>
    <row r="166" customFormat="false" ht="15.75" hidden="false" customHeight="true" outlineLevel="0" collapsed="false">
      <c r="A166" s="2"/>
      <c r="B166" s="2"/>
      <c r="C166" s="2"/>
      <c r="D166" s="2"/>
      <c r="E166" s="9"/>
      <c r="F166" s="9"/>
      <c r="G166" s="9"/>
      <c r="H166" s="9"/>
      <c r="I166" s="9"/>
      <c r="J166" s="9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2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</row>
    <row r="167" customFormat="false" ht="15.75" hidden="false" customHeight="true" outlineLevel="0" collapsed="false">
      <c r="A167" s="2"/>
      <c r="B167" s="2"/>
      <c r="C167" s="2"/>
      <c r="D167" s="2"/>
      <c r="E167" s="9"/>
      <c r="F167" s="9"/>
      <c r="G167" s="9"/>
      <c r="H167" s="9"/>
      <c r="I167" s="9"/>
      <c r="J167" s="9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2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</row>
    <row r="168" customFormat="false" ht="15.75" hidden="false" customHeight="true" outlineLevel="0" collapsed="false">
      <c r="A168" s="2"/>
      <c r="B168" s="2"/>
      <c r="C168" s="2"/>
      <c r="D168" s="2"/>
      <c r="E168" s="9"/>
      <c r="F168" s="9"/>
      <c r="G168" s="9"/>
      <c r="H168" s="9"/>
      <c r="I168" s="9"/>
      <c r="J168" s="9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2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</row>
    <row r="169" customFormat="false" ht="15.75" hidden="false" customHeight="true" outlineLevel="0" collapsed="false">
      <c r="A169" s="2"/>
      <c r="B169" s="2"/>
      <c r="C169" s="2"/>
      <c r="D169" s="2"/>
      <c r="E169" s="9"/>
      <c r="F169" s="9"/>
      <c r="G169" s="9"/>
      <c r="H169" s="9"/>
      <c r="I169" s="9"/>
      <c r="J169" s="9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2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</row>
    <row r="170" customFormat="false" ht="15.75" hidden="false" customHeight="true" outlineLevel="0" collapsed="false">
      <c r="A170" s="2"/>
      <c r="B170" s="2"/>
      <c r="C170" s="2"/>
      <c r="D170" s="2"/>
      <c r="E170" s="9"/>
      <c r="F170" s="9"/>
      <c r="G170" s="9"/>
      <c r="H170" s="9"/>
      <c r="I170" s="9"/>
      <c r="J170" s="9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2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</row>
    <row r="171" customFormat="false" ht="15.75" hidden="false" customHeight="true" outlineLevel="0" collapsed="false">
      <c r="A171" s="2"/>
      <c r="B171" s="2"/>
      <c r="C171" s="2"/>
      <c r="D171" s="2"/>
      <c r="E171" s="9"/>
      <c r="F171" s="9"/>
      <c r="G171" s="9"/>
      <c r="H171" s="9"/>
      <c r="I171" s="9"/>
      <c r="J171" s="9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2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</row>
    <row r="172" customFormat="false" ht="15.75" hidden="false" customHeight="true" outlineLevel="0" collapsed="false">
      <c r="A172" s="2"/>
      <c r="B172" s="2"/>
      <c r="C172" s="2"/>
      <c r="D172" s="2"/>
      <c r="E172" s="9"/>
      <c r="F172" s="9"/>
      <c r="G172" s="9"/>
      <c r="H172" s="9"/>
      <c r="I172" s="9"/>
      <c r="J172" s="9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2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</row>
    <row r="173" customFormat="false" ht="15.75" hidden="false" customHeight="true" outlineLevel="0" collapsed="false">
      <c r="A173" s="2"/>
      <c r="B173" s="2"/>
      <c r="C173" s="2"/>
      <c r="D173" s="2"/>
      <c r="E173" s="9"/>
      <c r="F173" s="9"/>
      <c r="G173" s="9"/>
      <c r="H173" s="9"/>
      <c r="I173" s="9"/>
      <c r="J173" s="9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2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</row>
    <row r="174" customFormat="false" ht="15.75" hidden="false" customHeight="true" outlineLevel="0" collapsed="false">
      <c r="A174" s="2"/>
      <c r="B174" s="2"/>
      <c r="C174" s="2"/>
      <c r="D174" s="2"/>
      <c r="E174" s="9"/>
      <c r="F174" s="9"/>
      <c r="G174" s="9"/>
      <c r="H174" s="9"/>
      <c r="I174" s="9"/>
      <c r="J174" s="9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2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</row>
    <row r="175" customFormat="false" ht="15.75" hidden="false" customHeight="true" outlineLevel="0" collapsed="false">
      <c r="A175" s="2"/>
      <c r="B175" s="2"/>
      <c r="C175" s="2"/>
      <c r="D175" s="2"/>
      <c r="E175" s="9"/>
      <c r="F175" s="9"/>
      <c r="G175" s="9"/>
      <c r="H175" s="9"/>
      <c r="I175" s="9"/>
      <c r="J175" s="9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2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</row>
    <row r="176" customFormat="false" ht="15.75" hidden="false" customHeight="true" outlineLevel="0" collapsed="false">
      <c r="A176" s="2"/>
      <c r="B176" s="2"/>
      <c r="C176" s="2"/>
      <c r="D176" s="2"/>
      <c r="E176" s="9"/>
      <c r="F176" s="9"/>
      <c r="G176" s="9"/>
      <c r="H176" s="9"/>
      <c r="I176" s="9"/>
      <c r="J176" s="9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2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</row>
    <row r="177" customFormat="false" ht="15.75" hidden="false" customHeight="true" outlineLevel="0" collapsed="false">
      <c r="A177" s="2"/>
      <c r="B177" s="2"/>
      <c r="C177" s="2"/>
      <c r="D177" s="2"/>
      <c r="E177" s="9"/>
      <c r="F177" s="9"/>
      <c r="G177" s="9"/>
      <c r="H177" s="9"/>
      <c r="I177" s="9"/>
      <c r="J177" s="9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2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</row>
    <row r="178" customFormat="false" ht="15.75" hidden="false" customHeight="true" outlineLevel="0" collapsed="false">
      <c r="A178" s="2"/>
      <c r="B178" s="2"/>
      <c r="C178" s="2"/>
      <c r="D178" s="2"/>
      <c r="E178" s="9"/>
      <c r="F178" s="9"/>
      <c r="G178" s="9"/>
      <c r="H178" s="9"/>
      <c r="I178" s="9"/>
      <c r="J178" s="9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2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</row>
    <row r="179" customFormat="false" ht="15.75" hidden="false" customHeight="true" outlineLevel="0" collapsed="false">
      <c r="A179" s="2"/>
      <c r="B179" s="2"/>
      <c r="C179" s="2"/>
      <c r="D179" s="2"/>
      <c r="E179" s="9"/>
      <c r="F179" s="9"/>
      <c r="G179" s="9"/>
      <c r="H179" s="9"/>
      <c r="I179" s="9"/>
      <c r="J179" s="9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2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</row>
    <row r="180" customFormat="false" ht="15.75" hidden="false" customHeight="true" outlineLevel="0" collapsed="false">
      <c r="A180" s="2"/>
      <c r="B180" s="2"/>
      <c r="C180" s="2"/>
      <c r="D180" s="2"/>
      <c r="E180" s="9"/>
      <c r="F180" s="9"/>
      <c r="G180" s="9"/>
      <c r="H180" s="9"/>
      <c r="I180" s="9"/>
      <c r="J180" s="9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2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</row>
    <row r="181" customFormat="false" ht="15.75" hidden="false" customHeight="true" outlineLevel="0" collapsed="false">
      <c r="A181" s="2"/>
      <c r="B181" s="2"/>
      <c r="C181" s="2"/>
      <c r="D181" s="2"/>
      <c r="E181" s="9"/>
      <c r="F181" s="9"/>
      <c r="G181" s="9"/>
      <c r="H181" s="9"/>
      <c r="I181" s="9"/>
      <c r="J181" s="9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2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</row>
    <row r="182" customFormat="false" ht="15.75" hidden="false" customHeight="true" outlineLevel="0" collapsed="false">
      <c r="A182" s="2"/>
      <c r="B182" s="2"/>
      <c r="C182" s="2"/>
      <c r="D182" s="2"/>
      <c r="E182" s="9"/>
      <c r="F182" s="9"/>
      <c r="G182" s="9"/>
      <c r="H182" s="9"/>
      <c r="I182" s="9"/>
      <c r="J182" s="9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2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</row>
    <row r="183" customFormat="false" ht="15.75" hidden="false" customHeight="true" outlineLevel="0" collapsed="false">
      <c r="A183" s="2"/>
      <c r="B183" s="2"/>
      <c r="C183" s="2"/>
      <c r="D183" s="2"/>
      <c r="E183" s="9"/>
      <c r="F183" s="9"/>
      <c r="G183" s="9"/>
      <c r="H183" s="9"/>
      <c r="I183" s="9"/>
      <c r="J183" s="9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2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</row>
    <row r="184" customFormat="false" ht="15.75" hidden="false" customHeight="true" outlineLevel="0" collapsed="false">
      <c r="A184" s="2"/>
      <c r="B184" s="2"/>
      <c r="C184" s="2"/>
      <c r="D184" s="2"/>
      <c r="E184" s="9"/>
      <c r="F184" s="9"/>
      <c r="G184" s="9"/>
      <c r="H184" s="9"/>
      <c r="I184" s="9"/>
      <c r="J184" s="9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2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</row>
    <row r="185" customFormat="false" ht="15.75" hidden="false" customHeight="true" outlineLevel="0" collapsed="false">
      <c r="A185" s="2"/>
      <c r="B185" s="2"/>
      <c r="C185" s="2"/>
      <c r="D185" s="2"/>
      <c r="E185" s="9"/>
      <c r="F185" s="9"/>
      <c r="G185" s="9"/>
      <c r="H185" s="9"/>
      <c r="I185" s="9"/>
      <c r="J185" s="9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2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</row>
    <row r="186" customFormat="false" ht="15.75" hidden="false" customHeight="true" outlineLevel="0" collapsed="false">
      <c r="A186" s="2"/>
      <c r="B186" s="2"/>
      <c r="C186" s="2"/>
      <c r="D186" s="2"/>
      <c r="E186" s="9"/>
      <c r="F186" s="9"/>
      <c r="G186" s="9"/>
      <c r="H186" s="9"/>
      <c r="I186" s="9"/>
      <c r="J186" s="9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2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</row>
    <row r="187" customFormat="false" ht="15.75" hidden="false" customHeight="true" outlineLevel="0" collapsed="false">
      <c r="A187" s="2"/>
      <c r="B187" s="2"/>
      <c r="C187" s="2"/>
      <c r="D187" s="2"/>
      <c r="E187" s="9"/>
      <c r="F187" s="9"/>
      <c r="G187" s="9"/>
      <c r="H187" s="9"/>
      <c r="I187" s="9"/>
      <c r="J187" s="9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2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</row>
    <row r="188" customFormat="false" ht="15.75" hidden="false" customHeight="true" outlineLevel="0" collapsed="false">
      <c r="A188" s="2"/>
      <c r="B188" s="2"/>
      <c r="C188" s="2"/>
      <c r="D188" s="2"/>
      <c r="E188" s="9"/>
      <c r="F188" s="9"/>
      <c r="G188" s="9"/>
      <c r="H188" s="9"/>
      <c r="I188" s="9"/>
      <c r="J188" s="9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2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</row>
    <row r="189" customFormat="false" ht="15.75" hidden="false" customHeight="true" outlineLevel="0" collapsed="false">
      <c r="A189" s="2"/>
      <c r="B189" s="2"/>
      <c r="C189" s="2"/>
      <c r="D189" s="2"/>
      <c r="E189" s="9"/>
      <c r="F189" s="9"/>
      <c r="G189" s="9"/>
      <c r="H189" s="9"/>
      <c r="I189" s="9"/>
      <c r="J189" s="9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2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</row>
    <row r="190" customFormat="false" ht="15.75" hidden="false" customHeight="true" outlineLevel="0" collapsed="false">
      <c r="A190" s="2"/>
      <c r="B190" s="2"/>
      <c r="C190" s="2"/>
      <c r="D190" s="2"/>
      <c r="E190" s="9"/>
      <c r="F190" s="9"/>
      <c r="G190" s="9"/>
      <c r="H190" s="9"/>
      <c r="I190" s="9"/>
      <c r="J190" s="9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2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</row>
    <row r="191" customFormat="false" ht="15.75" hidden="false" customHeight="true" outlineLevel="0" collapsed="false">
      <c r="A191" s="2"/>
      <c r="B191" s="2"/>
      <c r="C191" s="2"/>
      <c r="D191" s="2"/>
      <c r="E191" s="9"/>
      <c r="F191" s="9"/>
      <c r="G191" s="9"/>
      <c r="H191" s="9"/>
      <c r="I191" s="9"/>
      <c r="J191" s="9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2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</row>
    <row r="192" customFormat="false" ht="15.75" hidden="false" customHeight="true" outlineLevel="0" collapsed="false">
      <c r="A192" s="2"/>
      <c r="B192" s="2"/>
      <c r="C192" s="2"/>
      <c r="D192" s="2"/>
      <c r="E192" s="9"/>
      <c r="F192" s="9"/>
      <c r="G192" s="9"/>
      <c r="H192" s="9"/>
      <c r="I192" s="9"/>
      <c r="J192" s="9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2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</row>
    <row r="193" customFormat="false" ht="15.75" hidden="false" customHeight="true" outlineLevel="0" collapsed="false">
      <c r="A193" s="2"/>
      <c r="B193" s="2"/>
      <c r="C193" s="2"/>
      <c r="D193" s="2"/>
      <c r="E193" s="9"/>
      <c r="F193" s="9"/>
      <c r="G193" s="9"/>
      <c r="H193" s="9"/>
      <c r="I193" s="9"/>
      <c r="J193" s="9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2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</row>
    <row r="194" customFormat="false" ht="15.75" hidden="false" customHeight="true" outlineLevel="0" collapsed="false">
      <c r="A194" s="2"/>
      <c r="B194" s="2"/>
      <c r="C194" s="2"/>
      <c r="D194" s="2"/>
      <c r="E194" s="9"/>
      <c r="F194" s="9"/>
      <c r="G194" s="9"/>
      <c r="H194" s="9"/>
      <c r="I194" s="9"/>
      <c r="J194" s="9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2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</row>
    <row r="195" customFormat="false" ht="15.75" hidden="false" customHeight="true" outlineLevel="0" collapsed="false">
      <c r="A195" s="2"/>
      <c r="B195" s="2"/>
      <c r="C195" s="2"/>
      <c r="D195" s="2"/>
      <c r="E195" s="9"/>
      <c r="F195" s="9"/>
      <c r="G195" s="9"/>
      <c r="H195" s="9"/>
      <c r="I195" s="9"/>
      <c r="J195" s="9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2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</row>
    <row r="196" customFormat="false" ht="15.75" hidden="false" customHeight="true" outlineLevel="0" collapsed="false">
      <c r="A196" s="2"/>
      <c r="B196" s="2"/>
      <c r="C196" s="2"/>
      <c r="D196" s="2"/>
      <c r="E196" s="9"/>
      <c r="F196" s="9"/>
      <c r="G196" s="9"/>
      <c r="H196" s="9"/>
      <c r="I196" s="9"/>
      <c r="J196" s="9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2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</row>
    <row r="197" customFormat="false" ht="15.75" hidden="false" customHeight="true" outlineLevel="0" collapsed="false">
      <c r="A197" s="2"/>
      <c r="B197" s="2"/>
      <c r="C197" s="2"/>
      <c r="D197" s="2"/>
      <c r="E197" s="9"/>
      <c r="F197" s="9"/>
      <c r="G197" s="9"/>
      <c r="H197" s="9"/>
      <c r="I197" s="9"/>
      <c r="J197" s="9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2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</row>
    <row r="198" customFormat="false" ht="15.75" hidden="false" customHeight="true" outlineLevel="0" collapsed="false">
      <c r="A198" s="2"/>
      <c r="B198" s="2"/>
      <c r="C198" s="2"/>
      <c r="D198" s="2"/>
      <c r="E198" s="9"/>
      <c r="F198" s="9"/>
      <c r="G198" s="9"/>
      <c r="H198" s="9"/>
      <c r="I198" s="9"/>
      <c r="J198" s="9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2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</row>
    <row r="199" customFormat="false" ht="15.75" hidden="false" customHeight="true" outlineLevel="0" collapsed="false">
      <c r="A199" s="2"/>
      <c r="B199" s="2"/>
      <c r="C199" s="2"/>
      <c r="D199" s="2"/>
      <c r="E199" s="9"/>
      <c r="F199" s="9"/>
      <c r="G199" s="9"/>
      <c r="H199" s="9"/>
      <c r="I199" s="9"/>
      <c r="J199" s="9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2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</row>
    <row r="200" customFormat="false" ht="15.75" hidden="false" customHeight="true" outlineLevel="0" collapsed="false">
      <c r="A200" s="2"/>
      <c r="B200" s="2"/>
      <c r="C200" s="2"/>
      <c r="D200" s="2"/>
      <c r="E200" s="9"/>
      <c r="F200" s="9"/>
      <c r="G200" s="9"/>
      <c r="H200" s="9"/>
      <c r="I200" s="9"/>
      <c r="J200" s="9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2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</row>
    <row r="201" customFormat="false" ht="15.75" hidden="false" customHeight="true" outlineLevel="0" collapsed="false">
      <c r="A201" s="2"/>
      <c r="B201" s="2"/>
      <c r="C201" s="2"/>
      <c r="D201" s="2"/>
      <c r="E201" s="9"/>
      <c r="F201" s="9"/>
      <c r="G201" s="9"/>
      <c r="H201" s="9"/>
      <c r="I201" s="9"/>
      <c r="J201" s="9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2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</row>
    <row r="202" customFormat="false" ht="15.75" hidden="false" customHeight="true" outlineLevel="0" collapsed="false">
      <c r="A202" s="2"/>
      <c r="B202" s="2"/>
      <c r="C202" s="2"/>
      <c r="D202" s="2"/>
      <c r="E202" s="9"/>
      <c r="F202" s="9"/>
      <c r="G202" s="9"/>
      <c r="H202" s="9"/>
      <c r="I202" s="9"/>
      <c r="J202" s="9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2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</row>
    <row r="203" customFormat="false" ht="15.75" hidden="false" customHeight="true" outlineLevel="0" collapsed="false">
      <c r="A203" s="2"/>
      <c r="B203" s="2"/>
      <c r="C203" s="2"/>
      <c r="D203" s="2"/>
      <c r="E203" s="9"/>
      <c r="F203" s="9"/>
      <c r="G203" s="9"/>
      <c r="H203" s="9"/>
      <c r="I203" s="9"/>
      <c r="J203" s="9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2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</row>
    <row r="204" customFormat="false" ht="15.75" hidden="false" customHeight="true" outlineLevel="0" collapsed="false">
      <c r="A204" s="2"/>
      <c r="B204" s="2"/>
      <c r="C204" s="2"/>
      <c r="D204" s="2"/>
      <c r="E204" s="9"/>
      <c r="F204" s="9"/>
      <c r="G204" s="9"/>
      <c r="H204" s="9"/>
      <c r="I204" s="9"/>
      <c r="J204" s="9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2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</row>
    <row r="205" customFormat="false" ht="15.75" hidden="false" customHeight="true" outlineLevel="0" collapsed="false">
      <c r="A205" s="2"/>
      <c r="B205" s="2"/>
      <c r="C205" s="2"/>
      <c r="D205" s="2"/>
      <c r="E205" s="9"/>
      <c r="F205" s="9"/>
      <c r="G205" s="9"/>
      <c r="H205" s="9"/>
      <c r="I205" s="9"/>
      <c r="J205" s="9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2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</row>
    <row r="206" customFormat="false" ht="15.75" hidden="false" customHeight="true" outlineLevel="0" collapsed="false">
      <c r="A206" s="2"/>
      <c r="B206" s="2"/>
      <c r="C206" s="2"/>
      <c r="D206" s="2"/>
      <c r="E206" s="9"/>
      <c r="F206" s="9"/>
      <c r="G206" s="9"/>
      <c r="H206" s="9"/>
      <c r="I206" s="9"/>
      <c r="J206" s="9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2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</row>
    <row r="207" customFormat="false" ht="15.75" hidden="false" customHeight="true" outlineLevel="0" collapsed="false">
      <c r="A207" s="2"/>
      <c r="B207" s="2"/>
      <c r="C207" s="2"/>
      <c r="D207" s="2"/>
      <c r="E207" s="9"/>
      <c r="F207" s="9"/>
      <c r="G207" s="9"/>
      <c r="H207" s="9"/>
      <c r="I207" s="9"/>
      <c r="J207" s="9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2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</row>
    <row r="208" customFormat="false" ht="15.75" hidden="false" customHeight="true" outlineLevel="0" collapsed="false">
      <c r="A208" s="2"/>
      <c r="B208" s="2"/>
      <c r="C208" s="2"/>
      <c r="D208" s="2"/>
      <c r="E208" s="9"/>
      <c r="F208" s="9"/>
      <c r="G208" s="9"/>
      <c r="H208" s="9"/>
      <c r="I208" s="9"/>
      <c r="J208" s="9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2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</row>
    <row r="209" customFormat="false" ht="15.75" hidden="false" customHeight="true" outlineLevel="0" collapsed="false">
      <c r="A209" s="2"/>
      <c r="B209" s="2"/>
      <c r="C209" s="2"/>
      <c r="D209" s="2"/>
      <c r="E209" s="9"/>
      <c r="F209" s="9"/>
      <c r="G209" s="9"/>
      <c r="H209" s="9"/>
      <c r="I209" s="9"/>
      <c r="J209" s="9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2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</row>
    <row r="210" customFormat="false" ht="15.75" hidden="false" customHeight="true" outlineLevel="0" collapsed="false">
      <c r="A210" s="2"/>
      <c r="B210" s="2"/>
      <c r="C210" s="2"/>
      <c r="D210" s="2"/>
      <c r="E210" s="9"/>
      <c r="F210" s="9"/>
      <c r="G210" s="9"/>
      <c r="H210" s="9"/>
      <c r="I210" s="9"/>
      <c r="J210" s="9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2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</row>
    <row r="211" customFormat="false" ht="15.75" hidden="false" customHeight="true" outlineLevel="0" collapsed="false">
      <c r="A211" s="2"/>
      <c r="B211" s="2"/>
      <c r="C211" s="2"/>
      <c r="D211" s="2"/>
      <c r="E211" s="9"/>
      <c r="F211" s="9"/>
      <c r="G211" s="9"/>
      <c r="H211" s="9"/>
      <c r="I211" s="9"/>
      <c r="J211" s="9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2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</row>
    <row r="212" customFormat="false" ht="15.75" hidden="false" customHeight="true" outlineLevel="0" collapsed="false">
      <c r="A212" s="2"/>
      <c r="B212" s="2"/>
      <c r="C212" s="2"/>
      <c r="D212" s="2"/>
      <c r="E212" s="9"/>
      <c r="F212" s="9"/>
      <c r="G212" s="9"/>
      <c r="H212" s="9"/>
      <c r="I212" s="9"/>
      <c r="J212" s="9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2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</row>
    <row r="213" customFormat="false" ht="15.75" hidden="false" customHeight="true" outlineLevel="0" collapsed="false">
      <c r="A213" s="2"/>
      <c r="B213" s="2"/>
      <c r="C213" s="2"/>
      <c r="D213" s="2"/>
      <c r="E213" s="9"/>
      <c r="F213" s="9"/>
      <c r="G213" s="9"/>
      <c r="H213" s="9"/>
      <c r="I213" s="9"/>
      <c r="J213" s="9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2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</row>
    <row r="214" customFormat="false" ht="15.75" hidden="false" customHeight="true" outlineLevel="0" collapsed="false">
      <c r="A214" s="2"/>
      <c r="B214" s="2"/>
      <c r="C214" s="2"/>
      <c r="D214" s="2"/>
      <c r="E214" s="9"/>
      <c r="F214" s="9"/>
      <c r="G214" s="9"/>
      <c r="H214" s="9"/>
      <c r="I214" s="9"/>
      <c r="J214" s="9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2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</row>
    <row r="215" customFormat="false" ht="15.75" hidden="false" customHeight="true" outlineLevel="0" collapsed="false">
      <c r="A215" s="2"/>
      <c r="B215" s="2"/>
      <c r="C215" s="2"/>
      <c r="D215" s="2"/>
      <c r="E215" s="9"/>
      <c r="F215" s="9"/>
      <c r="G215" s="9"/>
      <c r="H215" s="9"/>
      <c r="I215" s="9"/>
      <c r="J215" s="9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2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</row>
    <row r="216" customFormat="false" ht="15.75" hidden="false" customHeight="true" outlineLevel="0" collapsed="false">
      <c r="A216" s="2"/>
      <c r="B216" s="2"/>
      <c r="C216" s="2"/>
      <c r="D216" s="2"/>
      <c r="E216" s="9"/>
      <c r="F216" s="9"/>
      <c r="G216" s="9"/>
      <c r="H216" s="9"/>
      <c r="I216" s="9"/>
      <c r="J216" s="9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2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</row>
    <row r="217" customFormat="false" ht="15.75" hidden="false" customHeight="true" outlineLevel="0" collapsed="false">
      <c r="A217" s="2"/>
      <c r="B217" s="2"/>
      <c r="C217" s="2"/>
      <c r="D217" s="2"/>
      <c r="E217" s="9"/>
      <c r="F217" s="9"/>
      <c r="G217" s="9"/>
      <c r="H217" s="9"/>
      <c r="I217" s="9"/>
      <c r="J217" s="9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2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</row>
    <row r="218" customFormat="false" ht="15.75" hidden="false" customHeight="true" outlineLevel="0" collapsed="false">
      <c r="A218" s="2"/>
      <c r="B218" s="2"/>
      <c r="C218" s="2"/>
      <c r="D218" s="2"/>
      <c r="E218" s="9"/>
      <c r="F218" s="9"/>
      <c r="G218" s="9"/>
      <c r="H218" s="9"/>
      <c r="I218" s="9"/>
      <c r="J218" s="9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2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</row>
    <row r="219" customFormat="false" ht="15.75" hidden="false" customHeight="true" outlineLevel="0" collapsed="false">
      <c r="A219" s="2"/>
      <c r="B219" s="2"/>
      <c r="C219" s="2"/>
      <c r="D219" s="2"/>
      <c r="E219" s="9"/>
      <c r="F219" s="9"/>
      <c r="G219" s="9"/>
      <c r="H219" s="9"/>
      <c r="I219" s="9"/>
      <c r="J219" s="9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2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</row>
    <row r="220" customFormat="false" ht="15.75" hidden="false" customHeight="true" outlineLevel="0" collapsed="false">
      <c r="A220" s="2"/>
      <c r="B220" s="2"/>
      <c r="C220" s="2"/>
      <c r="D220" s="2"/>
      <c r="E220" s="9"/>
      <c r="F220" s="9"/>
      <c r="G220" s="9"/>
      <c r="H220" s="9"/>
      <c r="I220" s="9"/>
      <c r="J220" s="9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2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</row>
    <row r="221" customFormat="false" ht="15.75" hidden="false" customHeight="true" outlineLevel="0" collapsed="false">
      <c r="A221" s="2"/>
      <c r="B221" s="2"/>
      <c r="C221" s="2"/>
      <c r="D221" s="2"/>
      <c r="E221" s="9"/>
      <c r="F221" s="9"/>
      <c r="G221" s="9"/>
      <c r="H221" s="9"/>
      <c r="I221" s="9"/>
      <c r="J221" s="9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2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</row>
    <row r="222" customFormat="false" ht="15.75" hidden="false" customHeight="true" outlineLevel="0" collapsed="false">
      <c r="A222" s="2"/>
      <c r="B222" s="2"/>
      <c r="C222" s="2"/>
      <c r="D222" s="2"/>
      <c r="E222" s="9"/>
      <c r="F222" s="9"/>
      <c r="G222" s="9"/>
      <c r="H222" s="9"/>
      <c r="I222" s="9"/>
      <c r="J222" s="9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2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</row>
    <row r="223" customFormat="false" ht="15.75" hidden="false" customHeight="true" outlineLevel="0" collapsed="false">
      <c r="A223" s="2"/>
      <c r="B223" s="2"/>
      <c r="C223" s="2"/>
      <c r="D223" s="2"/>
      <c r="E223" s="9"/>
      <c r="F223" s="9"/>
      <c r="G223" s="9"/>
      <c r="H223" s="9"/>
      <c r="I223" s="9"/>
      <c r="J223" s="9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2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</row>
    <row r="224" customFormat="false" ht="15.75" hidden="false" customHeight="true" outlineLevel="0" collapsed="false">
      <c r="A224" s="2"/>
      <c r="B224" s="2"/>
      <c r="C224" s="2"/>
      <c r="D224" s="2"/>
      <c r="E224" s="9"/>
      <c r="F224" s="9"/>
      <c r="G224" s="9"/>
      <c r="H224" s="9"/>
      <c r="I224" s="9"/>
      <c r="J224" s="9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2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</row>
    <row r="225" customFormat="false" ht="15.75" hidden="false" customHeight="true" outlineLevel="0" collapsed="false">
      <c r="A225" s="2"/>
      <c r="B225" s="2"/>
      <c r="C225" s="2"/>
      <c r="D225" s="2"/>
      <c r="E225" s="9"/>
      <c r="F225" s="9"/>
      <c r="G225" s="9"/>
      <c r="H225" s="9"/>
      <c r="I225" s="9"/>
      <c r="J225" s="9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2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</row>
    <row r="226" customFormat="false" ht="15.75" hidden="false" customHeight="true" outlineLevel="0" collapsed="false">
      <c r="A226" s="2"/>
      <c r="B226" s="2"/>
      <c r="C226" s="2"/>
      <c r="D226" s="2"/>
      <c r="E226" s="9"/>
      <c r="F226" s="9"/>
      <c r="G226" s="9"/>
      <c r="H226" s="9"/>
      <c r="I226" s="9"/>
      <c r="J226" s="9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2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</row>
    <row r="227" customFormat="false" ht="15.75" hidden="false" customHeight="true" outlineLevel="0" collapsed="false">
      <c r="A227" s="2"/>
      <c r="B227" s="2"/>
      <c r="C227" s="2"/>
      <c r="D227" s="2"/>
      <c r="E227" s="9"/>
      <c r="F227" s="9"/>
      <c r="G227" s="9"/>
      <c r="H227" s="9"/>
      <c r="I227" s="9"/>
      <c r="J227" s="9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2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</row>
    <row r="228" customFormat="false" ht="15.75" hidden="false" customHeight="true" outlineLevel="0" collapsed="false">
      <c r="A228" s="2"/>
      <c r="B228" s="2"/>
      <c r="C228" s="2"/>
      <c r="D228" s="2"/>
      <c r="E228" s="9"/>
      <c r="F228" s="9"/>
      <c r="G228" s="9"/>
      <c r="H228" s="9"/>
      <c r="I228" s="9"/>
      <c r="J228" s="9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2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</row>
    <row r="229" customFormat="false" ht="15.75" hidden="false" customHeight="true" outlineLevel="0" collapsed="false">
      <c r="A229" s="2"/>
      <c r="B229" s="2"/>
      <c r="C229" s="2"/>
      <c r="D229" s="2"/>
      <c r="E229" s="9"/>
      <c r="F229" s="9"/>
      <c r="G229" s="9"/>
      <c r="H229" s="9"/>
      <c r="I229" s="9"/>
      <c r="J229" s="9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2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</row>
    <row r="230" customFormat="false" ht="15.75" hidden="false" customHeight="true" outlineLevel="0" collapsed="false">
      <c r="A230" s="2"/>
      <c r="B230" s="2"/>
      <c r="C230" s="2"/>
      <c r="D230" s="2"/>
      <c r="E230" s="9"/>
      <c r="F230" s="9"/>
      <c r="G230" s="9"/>
      <c r="H230" s="9"/>
      <c r="I230" s="9"/>
      <c r="J230" s="9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2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</row>
    <row r="231" customFormat="false" ht="15.75" hidden="false" customHeight="true" outlineLevel="0" collapsed="false">
      <c r="A231" s="2"/>
      <c r="B231" s="2"/>
      <c r="C231" s="2"/>
      <c r="D231" s="2"/>
      <c r="E231" s="9"/>
      <c r="F231" s="9"/>
      <c r="G231" s="9"/>
      <c r="H231" s="9"/>
      <c r="I231" s="9"/>
      <c r="J231" s="9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2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</row>
    <row r="232" customFormat="false" ht="15.75" hidden="false" customHeight="true" outlineLevel="0" collapsed="false">
      <c r="A232" s="2"/>
      <c r="B232" s="2"/>
      <c r="C232" s="2"/>
      <c r="D232" s="2"/>
      <c r="E232" s="9"/>
      <c r="F232" s="9"/>
      <c r="G232" s="9"/>
      <c r="H232" s="9"/>
      <c r="I232" s="9"/>
      <c r="J232" s="9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2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</row>
    <row r="233" customFormat="false" ht="15.75" hidden="false" customHeight="true" outlineLevel="0" collapsed="false">
      <c r="A233" s="2"/>
      <c r="B233" s="2"/>
      <c r="C233" s="2"/>
      <c r="D233" s="2"/>
      <c r="E233" s="9"/>
      <c r="F233" s="9"/>
      <c r="G233" s="9"/>
      <c r="H233" s="9"/>
      <c r="I233" s="9"/>
      <c r="J233" s="9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2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</row>
    <row r="234" customFormat="false" ht="15.75" hidden="false" customHeight="true" outlineLevel="0" collapsed="false">
      <c r="A234" s="2"/>
      <c r="B234" s="2"/>
      <c r="C234" s="2"/>
      <c r="D234" s="2"/>
      <c r="E234" s="9"/>
      <c r="F234" s="9"/>
      <c r="G234" s="9"/>
      <c r="H234" s="9"/>
      <c r="I234" s="9"/>
      <c r="J234" s="9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2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</row>
    <row r="235" customFormat="false" ht="15.75" hidden="false" customHeight="true" outlineLevel="0" collapsed="false">
      <c r="A235" s="2"/>
      <c r="B235" s="2"/>
      <c r="C235" s="2"/>
      <c r="D235" s="2"/>
      <c r="E235" s="9"/>
      <c r="F235" s="9"/>
      <c r="G235" s="9"/>
      <c r="H235" s="9"/>
      <c r="I235" s="9"/>
      <c r="J235" s="9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2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</row>
    <row r="236" customFormat="false" ht="15.75" hidden="false" customHeight="true" outlineLevel="0" collapsed="false">
      <c r="A236" s="2"/>
      <c r="B236" s="2"/>
      <c r="C236" s="2"/>
      <c r="D236" s="2"/>
      <c r="E236" s="9"/>
      <c r="F236" s="9"/>
      <c r="G236" s="9"/>
      <c r="H236" s="9"/>
      <c r="I236" s="9"/>
      <c r="J236" s="9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2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</row>
    <row r="237" customFormat="false" ht="15.75" hidden="false" customHeight="true" outlineLevel="0" collapsed="false">
      <c r="A237" s="2"/>
      <c r="B237" s="2"/>
      <c r="C237" s="2"/>
      <c r="D237" s="2"/>
      <c r="E237" s="9"/>
      <c r="F237" s="9"/>
      <c r="G237" s="9"/>
      <c r="H237" s="9"/>
      <c r="I237" s="9"/>
      <c r="J237" s="9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2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</row>
    <row r="238" customFormat="false" ht="15.75" hidden="false" customHeight="true" outlineLevel="0" collapsed="false">
      <c r="A238" s="2"/>
      <c r="B238" s="2"/>
      <c r="C238" s="2"/>
      <c r="D238" s="2"/>
      <c r="E238" s="9"/>
      <c r="F238" s="9"/>
      <c r="G238" s="9"/>
      <c r="H238" s="9"/>
      <c r="I238" s="9"/>
      <c r="J238" s="9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2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</row>
    <row r="239" customFormat="false" ht="15.75" hidden="false" customHeight="true" outlineLevel="0" collapsed="false">
      <c r="A239" s="2"/>
      <c r="B239" s="2"/>
      <c r="C239" s="2"/>
      <c r="D239" s="2"/>
      <c r="E239" s="9"/>
      <c r="F239" s="9"/>
      <c r="G239" s="9"/>
      <c r="H239" s="9"/>
      <c r="I239" s="9"/>
      <c r="J239" s="9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2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</row>
    <row r="240" customFormat="false" ht="15.75" hidden="false" customHeight="true" outlineLevel="0" collapsed="false">
      <c r="A240" s="2"/>
      <c r="B240" s="2"/>
      <c r="C240" s="2"/>
      <c r="D240" s="2"/>
      <c r="E240" s="9"/>
      <c r="F240" s="9"/>
      <c r="G240" s="9"/>
      <c r="H240" s="9"/>
      <c r="I240" s="9"/>
      <c r="J240" s="9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2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</row>
    <row r="241" customFormat="false" ht="15.75" hidden="false" customHeight="true" outlineLevel="0" collapsed="false">
      <c r="A241" s="2"/>
      <c r="B241" s="2"/>
      <c r="C241" s="2"/>
      <c r="D241" s="2"/>
      <c r="E241" s="9"/>
      <c r="F241" s="9"/>
      <c r="G241" s="9"/>
      <c r="H241" s="9"/>
      <c r="I241" s="9"/>
      <c r="J241" s="9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2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</row>
    <row r="242" customFormat="false" ht="15.75" hidden="false" customHeight="true" outlineLevel="0" collapsed="false">
      <c r="A242" s="2"/>
      <c r="B242" s="2"/>
      <c r="C242" s="2"/>
      <c r="D242" s="2"/>
      <c r="E242" s="9"/>
      <c r="F242" s="9"/>
      <c r="G242" s="9"/>
      <c r="H242" s="9"/>
      <c r="I242" s="9"/>
      <c r="J242" s="9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2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</row>
    <row r="243" customFormat="false" ht="15.75" hidden="false" customHeight="true" outlineLevel="0" collapsed="false">
      <c r="A243" s="2"/>
      <c r="B243" s="2"/>
      <c r="C243" s="2"/>
      <c r="D243" s="2"/>
      <c r="E243" s="9"/>
      <c r="F243" s="9"/>
      <c r="G243" s="9"/>
      <c r="H243" s="9"/>
      <c r="I243" s="9"/>
      <c r="J243" s="9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2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</row>
    <row r="244" customFormat="false" ht="15.75" hidden="false" customHeight="true" outlineLevel="0" collapsed="false">
      <c r="A244" s="2"/>
      <c r="B244" s="2"/>
      <c r="C244" s="2"/>
      <c r="D244" s="2"/>
      <c r="E244" s="9"/>
      <c r="F244" s="9"/>
      <c r="G244" s="9"/>
      <c r="H244" s="9"/>
      <c r="I244" s="9"/>
      <c r="J244" s="9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2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</row>
    <row r="245" customFormat="false" ht="15.75" hidden="false" customHeight="true" outlineLevel="0" collapsed="false">
      <c r="A245" s="2"/>
      <c r="B245" s="2"/>
      <c r="C245" s="2"/>
      <c r="D245" s="2"/>
      <c r="E245" s="9"/>
      <c r="F245" s="9"/>
      <c r="G245" s="9"/>
      <c r="H245" s="9"/>
      <c r="I245" s="9"/>
      <c r="J245" s="9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2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</row>
    <row r="246" customFormat="false" ht="15.75" hidden="false" customHeight="true" outlineLevel="0" collapsed="false">
      <c r="A246" s="2"/>
      <c r="B246" s="2"/>
      <c r="C246" s="2"/>
      <c r="D246" s="2"/>
      <c r="E246" s="9"/>
      <c r="F246" s="9"/>
      <c r="G246" s="9"/>
      <c r="H246" s="9"/>
      <c r="I246" s="9"/>
      <c r="J246" s="9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2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</row>
    <row r="247" customFormat="false" ht="15.75" hidden="false" customHeight="true" outlineLevel="0" collapsed="false">
      <c r="A247" s="2"/>
      <c r="B247" s="2"/>
      <c r="C247" s="2"/>
      <c r="D247" s="2"/>
      <c r="E247" s="9"/>
      <c r="F247" s="9"/>
      <c r="G247" s="9"/>
      <c r="H247" s="9"/>
      <c r="I247" s="9"/>
      <c r="J247" s="9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2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</row>
    <row r="248" customFormat="false" ht="15.75" hidden="false" customHeight="true" outlineLevel="0" collapsed="false">
      <c r="A248" s="2"/>
      <c r="B248" s="2"/>
      <c r="C248" s="2"/>
      <c r="D248" s="2"/>
      <c r="E248" s="9"/>
      <c r="F248" s="9"/>
      <c r="G248" s="9"/>
      <c r="H248" s="9"/>
      <c r="I248" s="9"/>
      <c r="J248" s="9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2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</row>
    <row r="249" customFormat="false" ht="15.75" hidden="false" customHeight="true" outlineLevel="0" collapsed="false">
      <c r="A249" s="2"/>
      <c r="B249" s="2"/>
      <c r="C249" s="2"/>
      <c r="D249" s="2"/>
      <c r="E249" s="9"/>
      <c r="F249" s="9"/>
      <c r="G249" s="9"/>
      <c r="H249" s="9"/>
      <c r="I249" s="9"/>
      <c r="J249" s="9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2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</row>
    <row r="250" customFormat="false" ht="15.75" hidden="false" customHeight="true" outlineLevel="0" collapsed="false">
      <c r="A250" s="2"/>
      <c r="B250" s="2"/>
      <c r="C250" s="2"/>
      <c r="D250" s="2"/>
      <c r="E250" s="9"/>
      <c r="F250" s="9"/>
      <c r="G250" s="9"/>
      <c r="H250" s="9"/>
      <c r="I250" s="9"/>
      <c r="J250" s="9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2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</row>
    <row r="251" customFormat="false" ht="15.75" hidden="false" customHeight="true" outlineLevel="0" collapsed="false">
      <c r="A251" s="2"/>
      <c r="B251" s="2"/>
      <c r="C251" s="2"/>
      <c r="D251" s="2"/>
      <c r="E251" s="9"/>
      <c r="F251" s="9"/>
      <c r="G251" s="9"/>
      <c r="H251" s="9"/>
      <c r="I251" s="9"/>
      <c r="J251" s="9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2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</row>
    <row r="252" customFormat="false" ht="15.75" hidden="false" customHeight="true" outlineLevel="0" collapsed="false">
      <c r="A252" s="2"/>
      <c r="B252" s="2"/>
      <c r="C252" s="2"/>
      <c r="D252" s="2"/>
      <c r="E252" s="9"/>
      <c r="F252" s="9"/>
      <c r="G252" s="9"/>
      <c r="H252" s="9"/>
      <c r="I252" s="9"/>
      <c r="J252" s="9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2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</row>
    <row r="253" customFormat="false" ht="15.75" hidden="false" customHeight="true" outlineLevel="0" collapsed="false">
      <c r="A253" s="2"/>
      <c r="B253" s="2"/>
      <c r="C253" s="2"/>
      <c r="D253" s="2"/>
      <c r="E253" s="9"/>
      <c r="F253" s="9"/>
      <c r="G253" s="9"/>
      <c r="H253" s="9"/>
      <c r="I253" s="9"/>
      <c r="J253" s="9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2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</row>
    <row r="254" customFormat="false" ht="15.75" hidden="false" customHeight="true" outlineLevel="0" collapsed="false">
      <c r="A254" s="2"/>
      <c r="B254" s="2"/>
      <c r="C254" s="2"/>
      <c r="D254" s="2"/>
      <c r="E254" s="9"/>
      <c r="F254" s="9"/>
      <c r="G254" s="9"/>
      <c r="H254" s="9"/>
      <c r="I254" s="9"/>
      <c r="J254" s="9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2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</row>
    <row r="255" customFormat="false" ht="15.75" hidden="false" customHeight="true" outlineLevel="0" collapsed="false">
      <c r="A255" s="2"/>
      <c r="B255" s="2"/>
      <c r="C255" s="2"/>
      <c r="D255" s="2"/>
      <c r="E255" s="9"/>
      <c r="F255" s="9"/>
      <c r="G255" s="9"/>
      <c r="H255" s="9"/>
      <c r="I255" s="9"/>
      <c r="J255" s="9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2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</row>
    <row r="256" customFormat="false" ht="15.75" hidden="false" customHeight="true" outlineLevel="0" collapsed="false">
      <c r="A256" s="2"/>
      <c r="B256" s="2"/>
      <c r="C256" s="2"/>
      <c r="D256" s="2"/>
      <c r="E256" s="9"/>
      <c r="F256" s="9"/>
      <c r="G256" s="9"/>
      <c r="H256" s="9"/>
      <c r="I256" s="9"/>
      <c r="J256" s="9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2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</row>
    <row r="257" customFormat="false" ht="15.75" hidden="false" customHeight="true" outlineLevel="0" collapsed="false">
      <c r="A257" s="2"/>
      <c r="B257" s="2"/>
      <c r="C257" s="2"/>
      <c r="D257" s="2"/>
      <c r="E257" s="9"/>
      <c r="F257" s="9"/>
      <c r="G257" s="9"/>
      <c r="H257" s="9"/>
      <c r="I257" s="9"/>
      <c r="J257" s="9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2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</row>
    <row r="258" customFormat="false" ht="15.75" hidden="false" customHeight="true" outlineLevel="0" collapsed="false">
      <c r="A258" s="2"/>
      <c r="B258" s="2"/>
      <c r="C258" s="2"/>
      <c r="D258" s="2"/>
      <c r="E258" s="9"/>
      <c r="F258" s="9"/>
      <c r="G258" s="9"/>
      <c r="H258" s="9"/>
      <c r="I258" s="9"/>
      <c r="J258" s="9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2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</row>
    <row r="259" customFormat="false" ht="15.75" hidden="false" customHeight="true" outlineLevel="0" collapsed="false">
      <c r="A259" s="2"/>
      <c r="B259" s="2"/>
      <c r="C259" s="2"/>
      <c r="D259" s="2"/>
      <c r="E259" s="9"/>
      <c r="F259" s="9"/>
      <c r="G259" s="9"/>
      <c r="H259" s="9"/>
      <c r="I259" s="9"/>
      <c r="J259" s="9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2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</row>
    <row r="260" customFormat="false" ht="15.75" hidden="false" customHeight="true" outlineLevel="0" collapsed="false">
      <c r="A260" s="2"/>
      <c r="B260" s="2"/>
      <c r="C260" s="2"/>
      <c r="D260" s="2"/>
      <c r="E260" s="9"/>
      <c r="F260" s="9"/>
      <c r="G260" s="9"/>
      <c r="H260" s="9"/>
      <c r="I260" s="9"/>
      <c r="J260" s="9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2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</row>
    <row r="261" customFormat="false" ht="15.75" hidden="false" customHeight="true" outlineLevel="0" collapsed="false">
      <c r="A261" s="2"/>
      <c r="B261" s="2"/>
      <c r="C261" s="2"/>
      <c r="D261" s="2"/>
      <c r="E261" s="9"/>
      <c r="F261" s="9"/>
      <c r="G261" s="9"/>
      <c r="H261" s="9"/>
      <c r="I261" s="9"/>
      <c r="J261" s="9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2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</row>
    <row r="262" customFormat="false" ht="15.75" hidden="false" customHeight="true" outlineLevel="0" collapsed="false">
      <c r="A262" s="2"/>
      <c r="B262" s="2"/>
      <c r="C262" s="2"/>
      <c r="D262" s="2"/>
      <c r="E262" s="9"/>
      <c r="F262" s="9"/>
      <c r="G262" s="9"/>
      <c r="H262" s="9"/>
      <c r="I262" s="9"/>
      <c r="J262" s="9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2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</row>
    <row r="263" customFormat="false" ht="15.75" hidden="false" customHeight="true" outlineLevel="0" collapsed="false">
      <c r="A263" s="2"/>
      <c r="B263" s="2"/>
      <c r="C263" s="2"/>
      <c r="D263" s="2"/>
      <c r="E263" s="9"/>
      <c r="F263" s="9"/>
      <c r="G263" s="9"/>
      <c r="H263" s="9"/>
      <c r="I263" s="9"/>
      <c r="J263" s="9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2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</row>
    <row r="264" customFormat="false" ht="15.75" hidden="false" customHeight="true" outlineLevel="0" collapsed="false">
      <c r="A264" s="2"/>
      <c r="B264" s="2"/>
      <c r="C264" s="2"/>
      <c r="D264" s="2"/>
      <c r="E264" s="9"/>
      <c r="F264" s="9"/>
      <c r="G264" s="9"/>
      <c r="H264" s="9"/>
      <c r="I264" s="9"/>
      <c r="J264" s="9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2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</row>
    <row r="265" customFormat="false" ht="15.75" hidden="false" customHeight="true" outlineLevel="0" collapsed="false">
      <c r="A265" s="2"/>
      <c r="B265" s="2"/>
      <c r="C265" s="2"/>
      <c r="D265" s="2"/>
      <c r="E265" s="9"/>
      <c r="F265" s="9"/>
      <c r="G265" s="9"/>
      <c r="H265" s="9"/>
      <c r="I265" s="9"/>
      <c r="J265" s="9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2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</row>
    <row r="266" customFormat="false" ht="15.75" hidden="false" customHeight="true" outlineLevel="0" collapsed="false">
      <c r="A266" s="2"/>
      <c r="B266" s="2"/>
      <c r="C266" s="2"/>
      <c r="D266" s="2"/>
      <c r="E266" s="9"/>
      <c r="F266" s="9"/>
      <c r="G266" s="9"/>
      <c r="H266" s="9"/>
      <c r="I266" s="9"/>
      <c r="J266" s="9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2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</row>
    <row r="267" customFormat="false" ht="15.75" hidden="false" customHeight="true" outlineLevel="0" collapsed="false">
      <c r="A267" s="2"/>
      <c r="B267" s="2"/>
      <c r="C267" s="2"/>
      <c r="D267" s="2"/>
      <c r="E267" s="9"/>
      <c r="F267" s="9"/>
      <c r="G267" s="9"/>
      <c r="H267" s="9"/>
      <c r="I267" s="9"/>
      <c r="J267" s="9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2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</row>
    <row r="268" customFormat="false" ht="15.75" hidden="false" customHeight="true" outlineLevel="0" collapsed="false">
      <c r="A268" s="2"/>
      <c r="B268" s="2"/>
      <c r="C268" s="2"/>
      <c r="D268" s="2"/>
      <c r="E268" s="9"/>
      <c r="F268" s="9"/>
      <c r="G268" s="9"/>
      <c r="H268" s="9"/>
      <c r="I268" s="9"/>
      <c r="J268" s="9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2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</row>
    <row r="269" customFormat="false" ht="15.75" hidden="false" customHeight="true" outlineLevel="0" collapsed="false">
      <c r="A269" s="2"/>
      <c r="B269" s="2"/>
      <c r="C269" s="2"/>
      <c r="D269" s="2"/>
      <c r="E269" s="9"/>
      <c r="F269" s="9"/>
      <c r="G269" s="9"/>
      <c r="H269" s="9"/>
      <c r="I269" s="9"/>
      <c r="J269" s="9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2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</row>
    <row r="270" customFormat="false" ht="15.75" hidden="false" customHeight="true" outlineLevel="0" collapsed="false">
      <c r="A270" s="2"/>
      <c r="B270" s="2"/>
      <c r="C270" s="2"/>
      <c r="D270" s="2"/>
      <c r="E270" s="9"/>
      <c r="F270" s="9"/>
      <c r="G270" s="9"/>
      <c r="H270" s="9"/>
      <c r="I270" s="9"/>
      <c r="J270" s="9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2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</row>
    <row r="271" customFormat="false" ht="15.75" hidden="false" customHeight="true" outlineLevel="0" collapsed="false">
      <c r="A271" s="2"/>
      <c r="B271" s="2"/>
      <c r="C271" s="2"/>
      <c r="D271" s="2"/>
      <c r="E271" s="9"/>
      <c r="F271" s="9"/>
      <c r="G271" s="9"/>
      <c r="H271" s="9"/>
      <c r="I271" s="9"/>
      <c r="J271" s="9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2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</row>
    <row r="272" customFormat="false" ht="15.75" hidden="false" customHeight="true" outlineLevel="0" collapsed="false">
      <c r="A272" s="2"/>
      <c r="B272" s="2"/>
      <c r="C272" s="2"/>
      <c r="D272" s="2"/>
      <c r="E272" s="9"/>
      <c r="F272" s="9"/>
      <c r="G272" s="9"/>
      <c r="H272" s="9"/>
      <c r="I272" s="9"/>
      <c r="J272" s="9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2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</row>
    <row r="273" customFormat="false" ht="15.75" hidden="false" customHeight="true" outlineLevel="0" collapsed="false">
      <c r="A273" s="2"/>
      <c r="B273" s="2"/>
      <c r="C273" s="2"/>
      <c r="D273" s="2"/>
      <c r="E273" s="9"/>
      <c r="F273" s="9"/>
      <c r="G273" s="9"/>
      <c r="H273" s="9"/>
      <c r="I273" s="9"/>
      <c r="J273" s="9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2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</row>
    <row r="274" customFormat="false" ht="15.75" hidden="false" customHeight="true" outlineLevel="0" collapsed="false">
      <c r="A274" s="2"/>
      <c r="B274" s="2"/>
      <c r="C274" s="2"/>
      <c r="D274" s="2"/>
      <c r="E274" s="9"/>
      <c r="F274" s="9"/>
      <c r="G274" s="9"/>
      <c r="H274" s="9"/>
      <c r="I274" s="9"/>
      <c r="J274" s="9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2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</row>
    <row r="275" customFormat="false" ht="15.75" hidden="false" customHeight="true" outlineLevel="0" collapsed="false">
      <c r="A275" s="2"/>
      <c r="B275" s="2"/>
      <c r="C275" s="2"/>
      <c r="D275" s="2"/>
      <c r="E275" s="9"/>
      <c r="F275" s="9"/>
      <c r="G275" s="9"/>
      <c r="H275" s="9"/>
      <c r="I275" s="9"/>
      <c r="J275" s="9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2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</row>
    <row r="276" customFormat="false" ht="15.75" hidden="false" customHeight="true" outlineLevel="0" collapsed="false">
      <c r="A276" s="2"/>
      <c r="B276" s="2"/>
      <c r="C276" s="2"/>
      <c r="D276" s="2"/>
      <c r="E276" s="9"/>
      <c r="F276" s="9"/>
      <c r="G276" s="9"/>
      <c r="H276" s="9"/>
      <c r="I276" s="9"/>
      <c r="J276" s="9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2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</row>
    <row r="277" customFormat="false" ht="15.75" hidden="false" customHeight="true" outlineLevel="0" collapsed="false">
      <c r="A277" s="2"/>
      <c r="B277" s="2"/>
      <c r="C277" s="2"/>
      <c r="D277" s="2"/>
      <c r="E277" s="9"/>
      <c r="F277" s="9"/>
      <c r="G277" s="9"/>
      <c r="H277" s="9"/>
      <c r="I277" s="9"/>
      <c r="J277" s="9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2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</row>
    <row r="278" customFormat="false" ht="15.75" hidden="false" customHeight="true" outlineLevel="0" collapsed="false">
      <c r="A278" s="2"/>
      <c r="B278" s="2"/>
      <c r="C278" s="2"/>
      <c r="D278" s="2"/>
      <c r="E278" s="9"/>
      <c r="F278" s="9"/>
      <c r="G278" s="9"/>
      <c r="H278" s="9"/>
      <c r="I278" s="9"/>
      <c r="J278" s="9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2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</row>
    <row r="279" customFormat="false" ht="15.75" hidden="false" customHeight="true" outlineLevel="0" collapsed="false">
      <c r="A279" s="2"/>
      <c r="B279" s="2"/>
      <c r="C279" s="2"/>
      <c r="D279" s="2"/>
      <c r="E279" s="9"/>
      <c r="F279" s="9"/>
      <c r="G279" s="9"/>
      <c r="H279" s="9"/>
      <c r="I279" s="9"/>
      <c r="J279" s="9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2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</row>
    <row r="280" customFormat="false" ht="15.75" hidden="false" customHeight="true" outlineLevel="0" collapsed="false">
      <c r="A280" s="2"/>
      <c r="B280" s="2"/>
      <c r="C280" s="2"/>
      <c r="D280" s="2"/>
      <c r="E280" s="9"/>
      <c r="F280" s="9"/>
      <c r="G280" s="9"/>
      <c r="H280" s="9"/>
      <c r="I280" s="9"/>
      <c r="J280" s="9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2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</row>
    <row r="281" customFormat="false" ht="15.75" hidden="false" customHeight="true" outlineLevel="0" collapsed="false">
      <c r="A281" s="2"/>
      <c r="B281" s="2"/>
      <c r="C281" s="2"/>
      <c r="D281" s="2"/>
      <c r="E281" s="9"/>
      <c r="F281" s="9"/>
      <c r="G281" s="9"/>
      <c r="H281" s="9"/>
      <c r="I281" s="9"/>
      <c r="J281" s="9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2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</row>
    <row r="282" customFormat="false" ht="15.75" hidden="false" customHeight="true" outlineLevel="0" collapsed="false">
      <c r="A282" s="2"/>
      <c r="B282" s="2"/>
      <c r="C282" s="2"/>
      <c r="D282" s="2"/>
      <c r="E282" s="9"/>
      <c r="F282" s="9"/>
      <c r="G282" s="9"/>
      <c r="H282" s="9"/>
      <c r="I282" s="9"/>
      <c r="J282" s="9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2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</row>
    <row r="283" customFormat="false" ht="15.75" hidden="false" customHeight="true" outlineLevel="0" collapsed="false">
      <c r="A283" s="2"/>
      <c r="B283" s="2"/>
      <c r="C283" s="2"/>
      <c r="D283" s="2"/>
      <c r="E283" s="9"/>
      <c r="F283" s="9"/>
      <c r="G283" s="9"/>
      <c r="H283" s="9"/>
      <c r="I283" s="9"/>
      <c r="J283" s="9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2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</row>
    <row r="284" customFormat="false" ht="15.75" hidden="false" customHeight="true" outlineLevel="0" collapsed="false">
      <c r="A284" s="2"/>
      <c r="B284" s="2"/>
      <c r="C284" s="2"/>
      <c r="D284" s="2"/>
      <c r="E284" s="9"/>
      <c r="F284" s="9"/>
      <c r="G284" s="9"/>
      <c r="H284" s="9"/>
      <c r="I284" s="9"/>
      <c r="J284" s="9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2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</row>
    <row r="285" customFormat="false" ht="15.75" hidden="false" customHeight="true" outlineLevel="0" collapsed="false">
      <c r="A285" s="2"/>
      <c r="B285" s="2"/>
      <c r="C285" s="2"/>
      <c r="D285" s="2"/>
      <c r="E285" s="9"/>
      <c r="F285" s="9"/>
      <c r="G285" s="9"/>
      <c r="H285" s="9"/>
      <c r="I285" s="9"/>
      <c r="J285" s="9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2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</row>
    <row r="286" customFormat="false" ht="15.75" hidden="false" customHeight="true" outlineLevel="0" collapsed="false">
      <c r="A286" s="2"/>
      <c r="B286" s="2"/>
      <c r="C286" s="2"/>
      <c r="D286" s="2"/>
      <c r="E286" s="9"/>
      <c r="F286" s="9"/>
      <c r="G286" s="9"/>
      <c r="H286" s="9"/>
      <c r="I286" s="9"/>
      <c r="J286" s="9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2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</row>
    <row r="287" customFormat="false" ht="15.75" hidden="false" customHeight="true" outlineLevel="0" collapsed="false">
      <c r="A287" s="2"/>
      <c r="B287" s="2"/>
      <c r="C287" s="2"/>
      <c r="D287" s="2"/>
      <c r="E287" s="9"/>
      <c r="F287" s="9"/>
      <c r="G287" s="9"/>
      <c r="H287" s="9"/>
      <c r="I287" s="9"/>
      <c r="J287" s="9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2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</row>
    <row r="288" customFormat="false" ht="15.75" hidden="false" customHeight="true" outlineLevel="0" collapsed="false">
      <c r="A288" s="2"/>
      <c r="B288" s="2"/>
      <c r="C288" s="2"/>
      <c r="D288" s="2"/>
      <c r="E288" s="9"/>
      <c r="F288" s="9"/>
      <c r="G288" s="9"/>
      <c r="H288" s="9"/>
      <c r="I288" s="9"/>
      <c r="J288" s="9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2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</row>
    <row r="289" customFormat="false" ht="15.75" hidden="false" customHeight="true" outlineLevel="0" collapsed="false">
      <c r="A289" s="2"/>
      <c r="B289" s="2"/>
      <c r="C289" s="2"/>
      <c r="D289" s="2"/>
      <c r="E289" s="9"/>
      <c r="F289" s="9"/>
      <c r="G289" s="9"/>
      <c r="H289" s="9"/>
      <c r="I289" s="9"/>
      <c r="J289" s="9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2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</row>
    <row r="290" customFormat="false" ht="15.75" hidden="false" customHeight="true" outlineLevel="0" collapsed="false">
      <c r="A290" s="2"/>
      <c r="B290" s="2"/>
      <c r="C290" s="2"/>
      <c r="D290" s="2"/>
      <c r="E290" s="9"/>
      <c r="F290" s="9"/>
      <c r="G290" s="9"/>
      <c r="H290" s="9"/>
      <c r="I290" s="9"/>
      <c r="J290" s="9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2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</row>
    <row r="291" customFormat="false" ht="15.75" hidden="false" customHeight="true" outlineLevel="0" collapsed="false">
      <c r="A291" s="2"/>
      <c r="B291" s="2"/>
      <c r="C291" s="2"/>
      <c r="D291" s="2"/>
      <c r="E291" s="9"/>
      <c r="F291" s="9"/>
      <c r="G291" s="9"/>
      <c r="H291" s="9"/>
      <c r="I291" s="9"/>
      <c r="J291" s="9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2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</row>
    <row r="292" customFormat="false" ht="15.75" hidden="false" customHeight="true" outlineLevel="0" collapsed="false">
      <c r="A292" s="2"/>
      <c r="B292" s="2"/>
      <c r="C292" s="2"/>
      <c r="D292" s="2"/>
      <c r="E292" s="9"/>
      <c r="F292" s="9"/>
      <c r="G292" s="9"/>
      <c r="H292" s="9"/>
      <c r="I292" s="9"/>
      <c r="J292" s="9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2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</row>
    <row r="293" customFormat="false" ht="15.75" hidden="false" customHeight="true" outlineLevel="0" collapsed="false">
      <c r="A293" s="2"/>
      <c r="B293" s="2"/>
      <c r="C293" s="2"/>
      <c r="D293" s="2"/>
      <c r="E293" s="9"/>
      <c r="F293" s="9"/>
      <c r="G293" s="9"/>
      <c r="H293" s="9"/>
      <c r="I293" s="9"/>
      <c r="J293" s="9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2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</row>
    <row r="294" customFormat="false" ht="15.75" hidden="false" customHeight="true" outlineLevel="0" collapsed="false">
      <c r="A294" s="2"/>
      <c r="B294" s="2"/>
      <c r="C294" s="2"/>
      <c r="D294" s="2"/>
      <c r="E294" s="9"/>
      <c r="F294" s="9"/>
      <c r="G294" s="9"/>
      <c r="H294" s="9"/>
      <c r="I294" s="9"/>
      <c r="J294" s="9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2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</row>
    <row r="295" customFormat="false" ht="15.75" hidden="false" customHeight="true" outlineLevel="0" collapsed="false">
      <c r="A295" s="2"/>
      <c r="B295" s="2"/>
      <c r="C295" s="2"/>
      <c r="D295" s="2"/>
      <c r="E295" s="9"/>
      <c r="F295" s="9"/>
      <c r="G295" s="9"/>
      <c r="H295" s="9"/>
      <c r="I295" s="9"/>
      <c r="J295" s="9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2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</row>
    <row r="296" customFormat="false" ht="15.75" hidden="false" customHeight="true" outlineLevel="0" collapsed="false">
      <c r="A296" s="2"/>
      <c r="B296" s="2"/>
      <c r="C296" s="2"/>
      <c r="D296" s="2"/>
      <c r="E296" s="9"/>
      <c r="F296" s="9"/>
      <c r="G296" s="9"/>
      <c r="H296" s="9"/>
      <c r="I296" s="9"/>
      <c r="J296" s="9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2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</row>
    <row r="297" customFormat="false" ht="15.75" hidden="false" customHeight="true" outlineLevel="0" collapsed="false">
      <c r="A297" s="2"/>
      <c r="B297" s="2"/>
      <c r="C297" s="2"/>
      <c r="D297" s="2"/>
      <c r="E297" s="9"/>
      <c r="F297" s="9"/>
      <c r="G297" s="9"/>
      <c r="H297" s="9"/>
      <c r="I297" s="9"/>
      <c r="J297" s="9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2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</row>
    <row r="298" customFormat="false" ht="15.75" hidden="false" customHeight="true" outlineLevel="0" collapsed="false">
      <c r="A298" s="2"/>
      <c r="B298" s="2"/>
      <c r="C298" s="2"/>
      <c r="D298" s="2"/>
      <c r="E298" s="9"/>
      <c r="F298" s="9"/>
      <c r="G298" s="9"/>
      <c r="H298" s="9"/>
      <c r="I298" s="9"/>
      <c r="J298" s="9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2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</row>
    <row r="299" customFormat="false" ht="15.75" hidden="false" customHeight="true" outlineLevel="0" collapsed="false">
      <c r="A299" s="2"/>
      <c r="B299" s="2"/>
      <c r="C299" s="2"/>
      <c r="D299" s="2"/>
      <c r="E299" s="9"/>
      <c r="F299" s="9"/>
      <c r="G299" s="9"/>
      <c r="H299" s="9"/>
      <c r="I299" s="9"/>
      <c r="J299" s="9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2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</row>
    <row r="300" customFormat="false" ht="15.75" hidden="false" customHeight="true" outlineLevel="0" collapsed="false">
      <c r="A300" s="2"/>
      <c r="B300" s="2"/>
      <c r="C300" s="2"/>
      <c r="D300" s="2"/>
      <c r="E300" s="9"/>
      <c r="F300" s="9"/>
      <c r="G300" s="9"/>
      <c r="H300" s="9"/>
      <c r="I300" s="9"/>
      <c r="J300" s="9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2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</row>
    <row r="301" customFormat="false" ht="15.75" hidden="false" customHeight="true" outlineLevel="0" collapsed="false">
      <c r="A301" s="2"/>
      <c r="B301" s="2"/>
      <c r="C301" s="2"/>
      <c r="D301" s="2"/>
      <c r="E301" s="9"/>
      <c r="F301" s="9"/>
      <c r="G301" s="9"/>
      <c r="H301" s="9"/>
      <c r="I301" s="9"/>
      <c r="J301" s="9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2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</row>
    <row r="302" customFormat="false" ht="15.75" hidden="false" customHeight="true" outlineLevel="0" collapsed="false">
      <c r="A302" s="2"/>
      <c r="B302" s="2"/>
      <c r="C302" s="2"/>
      <c r="D302" s="2"/>
      <c r="E302" s="9"/>
      <c r="F302" s="9"/>
      <c r="G302" s="9"/>
      <c r="H302" s="9"/>
      <c r="I302" s="9"/>
      <c r="J302" s="9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2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</row>
    <row r="303" customFormat="false" ht="15.75" hidden="false" customHeight="true" outlineLevel="0" collapsed="false">
      <c r="A303" s="2"/>
      <c r="B303" s="2"/>
      <c r="C303" s="2"/>
      <c r="D303" s="2"/>
      <c r="E303" s="9"/>
      <c r="F303" s="9"/>
      <c r="G303" s="9"/>
      <c r="H303" s="9"/>
      <c r="I303" s="9"/>
      <c r="J303" s="9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2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</row>
    <row r="304" customFormat="false" ht="15.75" hidden="false" customHeight="true" outlineLevel="0" collapsed="false">
      <c r="A304" s="2"/>
      <c r="B304" s="2"/>
      <c r="C304" s="2"/>
      <c r="D304" s="2"/>
      <c r="E304" s="9"/>
      <c r="F304" s="9"/>
      <c r="G304" s="9"/>
      <c r="H304" s="9"/>
      <c r="I304" s="9"/>
      <c r="J304" s="9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2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</row>
    <row r="305" customFormat="false" ht="15.75" hidden="false" customHeight="true" outlineLevel="0" collapsed="false">
      <c r="A305" s="2"/>
      <c r="B305" s="2"/>
      <c r="C305" s="2"/>
      <c r="D305" s="2"/>
      <c r="E305" s="9"/>
      <c r="F305" s="9"/>
      <c r="G305" s="9"/>
      <c r="H305" s="9"/>
      <c r="I305" s="9"/>
      <c r="J305" s="9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2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</row>
    <row r="306" customFormat="false" ht="15.75" hidden="false" customHeight="true" outlineLevel="0" collapsed="false">
      <c r="A306" s="2"/>
      <c r="B306" s="2"/>
      <c r="C306" s="2"/>
      <c r="D306" s="2"/>
      <c r="E306" s="9"/>
      <c r="F306" s="9"/>
      <c r="G306" s="9"/>
      <c r="H306" s="9"/>
      <c r="I306" s="9"/>
      <c r="J306" s="9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2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</row>
    <row r="307" customFormat="false" ht="15.75" hidden="false" customHeight="true" outlineLevel="0" collapsed="false">
      <c r="A307" s="2"/>
      <c r="B307" s="2"/>
      <c r="C307" s="2"/>
      <c r="D307" s="2"/>
      <c r="E307" s="9"/>
      <c r="F307" s="9"/>
      <c r="G307" s="9"/>
      <c r="H307" s="9"/>
      <c r="I307" s="9"/>
      <c r="J307" s="9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2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</row>
    <row r="308" customFormat="false" ht="15.75" hidden="false" customHeight="true" outlineLevel="0" collapsed="false">
      <c r="A308" s="2"/>
      <c r="B308" s="2"/>
      <c r="C308" s="2"/>
      <c r="D308" s="2"/>
      <c r="E308" s="9"/>
      <c r="F308" s="9"/>
      <c r="G308" s="9"/>
      <c r="H308" s="9"/>
      <c r="I308" s="9"/>
      <c r="J308" s="9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2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</row>
    <row r="309" customFormat="false" ht="15.75" hidden="false" customHeight="true" outlineLevel="0" collapsed="false">
      <c r="A309" s="2"/>
      <c r="B309" s="2"/>
      <c r="C309" s="2"/>
      <c r="D309" s="2"/>
      <c r="E309" s="9"/>
      <c r="F309" s="9"/>
      <c r="G309" s="9"/>
      <c r="H309" s="9"/>
      <c r="I309" s="9"/>
      <c r="J309" s="9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2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</row>
    <row r="310" customFormat="false" ht="15.75" hidden="false" customHeight="true" outlineLevel="0" collapsed="false">
      <c r="A310" s="2"/>
      <c r="B310" s="2"/>
      <c r="C310" s="2"/>
      <c r="D310" s="2"/>
      <c r="E310" s="9"/>
      <c r="F310" s="9"/>
      <c r="G310" s="9"/>
      <c r="H310" s="9"/>
      <c r="I310" s="9"/>
      <c r="J310" s="9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2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</row>
    <row r="311" customFormat="false" ht="15.75" hidden="false" customHeight="true" outlineLevel="0" collapsed="false">
      <c r="A311" s="2"/>
      <c r="B311" s="2"/>
      <c r="C311" s="2"/>
      <c r="D311" s="2"/>
      <c r="E311" s="9"/>
      <c r="F311" s="9"/>
      <c r="G311" s="9"/>
      <c r="H311" s="9"/>
      <c r="I311" s="9"/>
      <c r="J311" s="9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2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</row>
    <row r="312" customFormat="false" ht="15.75" hidden="false" customHeight="true" outlineLevel="0" collapsed="false">
      <c r="A312" s="2"/>
      <c r="B312" s="2"/>
      <c r="C312" s="2"/>
      <c r="D312" s="2"/>
      <c r="E312" s="9"/>
      <c r="F312" s="9"/>
      <c r="G312" s="9"/>
      <c r="H312" s="9"/>
      <c r="I312" s="9"/>
      <c r="J312" s="9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2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</row>
    <row r="313" customFormat="false" ht="15.75" hidden="false" customHeight="true" outlineLevel="0" collapsed="false">
      <c r="A313" s="2"/>
      <c r="B313" s="2"/>
      <c r="C313" s="2"/>
      <c r="D313" s="2"/>
      <c r="E313" s="9"/>
      <c r="F313" s="9"/>
      <c r="G313" s="9"/>
      <c r="H313" s="9"/>
      <c r="I313" s="9"/>
      <c r="J313" s="9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2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</row>
    <row r="314" customFormat="false" ht="15.75" hidden="false" customHeight="true" outlineLevel="0" collapsed="false">
      <c r="A314" s="2"/>
      <c r="B314" s="2"/>
      <c r="C314" s="2"/>
      <c r="D314" s="2"/>
      <c r="E314" s="9"/>
      <c r="F314" s="9"/>
      <c r="G314" s="9"/>
      <c r="H314" s="9"/>
      <c r="I314" s="9"/>
      <c r="J314" s="9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2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</row>
    <row r="315" customFormat="false" ht="15.75" hidden="false" customHeight="true" outlineLevel="0" collapsed="false">
      <c r="A315" s="2"/>
      <c r="B315" s="2"/>
      <c r="C315" s="2"/>
      <c r="D315" s="2"/>
      <c r="E315" s="9"/>
      <c r="F315" s="9"/>
      <c r="G315" s="9"/>
      <c r="H315" s="9"/>
      <c r="I315" s="9"/>
      <c r="J315" s="9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2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</row>
    <row r="316" customFormat="false" ht="15.75" hidden="false" customHeight="true" outlineLevel="0" collapsed="false">
      <c r="A316" s="2"/>
      <c r="B316" s="2"/>
      <c r="C316" s="2"/>
      <c r="D316" s="2"/>
      <c r="E316" s="9"/>
      <c r="F316" s="9"/>
      <c r="G316" s="9"/>
      <c r="H316" s="9"/>
      <c r="I316" s="9"/>
      <c r="J316" s="9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2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</row>
    <row r="317" customFormat="false" ht="15.75" hidden="false" customHeight="true" outlineLevel="0" collapsed="false">
      <c r="A317" s="2"/>
      <c r="B317" s="2"/>
      <c r="C317" s="2"/>
      <c r="D317" s="2"/>
      <c r="E317" s="9"/>
      <c r="F317" s="9"/>
      <c r="G317" s="9"/>
      <c r="H317" s="9"/>
      <c r="I317" s="9"/>
      <c r="J317" s="9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2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</row>
    <row r="318" customFormat="false" ht="15.75" hidden="false" customHeight="true" outlineLevel="0" collapsed="false">
      <c r="A318" s="2"/>
      <c r="B318" s="2"/>
      <c r="C318" s="2"/>
      <c r="D318" s="2"/>
      <c r="E318" s="9"/>
      <c r="F318" s="9"/>
      <c r="G318" s="9"/>
      <c r="H318" s="9"/>
      <c r="I318" s="9"/>
      <c r="J318" s="9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2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</row>
    <row r="319" customFormat="false" ht="15.75" hidden="false" customHeight="true" outlineLevel="0" collapsed="false">
      <c r="A319" s="2"/>
      <c r="B319" s="2"/>
      <c r="C319" s="2"/>
      <c r="D319" s="2"/>
      <c r="E319" s="9"/>
      <c r="F319" s="9"/>
      <c r="G319" s="9"/>
      <c r="H319" s="9"/>
      <c r="I319" s="9"/>
      <c r="J319" s="9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2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</row>
    <row r="320" customFormat="false" ht="15.75" hidden="false" customHeight="true" outlineLevel="0" collapsed="false">
      <c r="A320" s="2"/>
      <c r="B320" s="2"/>
      <c r="C320" s="2"/>
      <c r="D320" s="2"/>
      <c r="E320" s="9"/>
      <c r="F320" s="9"/>
      <c r="G320" s="9"/>
      <c r="H320" s="9"/>
      <c r="I320" s="9"/>
      <c r="J320" s="9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2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</row>
    <row r="321" customFormat="false" ht="15.75" hidden="false" customHeight="true" outlineLevel="0" collapsed="false">
      <c r="A321" s="2"/>
      <c r="B321" s="2"/>
      <c r="C321" s="2"/>
      <c r="D321" s="2"/>
      <c r="E321" s="9"/>
      <c r="F321" s="9"/>
      <c r="G321" s="9"/>
      <c r="H321" s="9"/>
      <c r="I321" s="9"/>
      <c r="J321" s="9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2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</row>
    <row r="322" customFormat="false" ht="15.75" hidden="false" customHeight="true" outlineLevel="0" collapsed="false">
      <c r="A322" s="2"/>
      <c r="B322" s="2"/>
      <c r="C322" s="2"/>
      <c r="D322" s="2"/>
      <c r="E322" s="9"/>
      <c r="F322" s="9"/>
      <c r="G322" s="9"/>
      <c r="H322" s="9"/>
      <c r="I322" s="9"/>
      <c r="J322" s="9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2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</row>
    <row r="323" customFormat="false" ht="15.75" hidden="false" customHeight="true" outlineLevel="0" collapsed="false">
      <c r="A323" s="2"/>
      <c r="B323" s="2"/>
      <c r="C323" s="2"/>
      <c r="D323" s="2"/>
      <c r="E323" s="9"/>
      <c r="F323" s="9"/>
      <c r="G323" s="9"/>
      <c r="H323" s="9"/>
      <c r="I323" s="9"/>
      <c r="J323" s="9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2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</row>
    <row r="324" customFormat="false" ht="15.75" hidden="false" customHeight="true" outlineLevel="0" collapsed="false">
      <c r="A324" s="2"/>
      <c r="B324" s="2"/>
      <c r="C324" s="2"/>
      <c r="D324" s="2"/>
      <c r="E324" s="9"/>
      <c r="F324" s="9"/>
      <c r="G324" s="9"/>
      <c r="H324" s="9"/>
      <c r="I324" s="9"/>
      <c r="J324" s="9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2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</row>
    <row r="325" customFormat="false" ht="15.75" hidden="false" customHeight="true" outlineLevel="0" collapsed="false">
      <c r="A325" s="2"/>
      <c r="B325" s="2"/>
      <c r="C325" s="2"/>
      <c r="D325" s="2"/>
      <c r="E325" s="9"/>
      <c r="F325" s="9"/>
      <c r="G325" s="9"/>
      <c r="H325" s="9"/>
      <c r="I325" s="9"/>
      <c r="J325" s="9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2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</row>
    <row r="326" customFormat="false" ht="15.75" hidden="false" customHeight="true" outlineLevel="0" collapsed="false">
      <c r="A326" s="2"/>
      <c r="B326" s="2"/>
      <c r="C326" s="2"/>
      <c r="D326" s="2"/>
      <c r="E326" s="9"/>
      <c r="F326" s="9"/>
      <c r="G326" s="9"/>
      <c r="H326" s="9"/>
      <c r="I326" s="9"/>
      <c r="J326" s="9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2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</row>
    <row r="327" customFormat="false" ht="15.75" hidden="false" customHeight="true" outlineLevel="0" collapsed="false">
      <c r="A327" s="2"/>
      <c r="B327" s="2"/>
      <c r="C327" s="2"/>
      <c r="D327" s="2"/>
      <c r="E327" s="9"/>
      <c r="F327" s="9"/>
      <c r="G327" s="9"/>
      <c r="H327" s="9"/>
      <c r="I327" s="9"/>
      <c r="J327" s="9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2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</row>
    <row r="328" customFormat="false" ht="15.75" hidden="false" customHeight="true" outlineLevel="0" collapsed="false">
      <c r="A328" s="2"/>
      <c r="B328" s="2"/>
      <c r="C328" s="2"/>
      <c r="D328" s="2"/>
      <c r="E328" s="9"/>
      <c r="F328" s="9"/>
      <c r="G328" s="9"/>
      <c r="H328" s="9"/>
      <c r="I328" s="9"/>
      <c r="J328" s="9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2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</row>
    <row r="329" customFormat="false" ht="15.75" hidden="false" customHeight="true" outlineLevel="0" collapsed="false">
      <c r="A329" s="2"/>
      <c r="B329" s="2"/>
      <c r="C329" s="2"/>
      <c r="D329" s="2"/>
      <c r="E329" s="9"/>
      <c r="F329" s="9"/>
      <c r="G329" s="9"/>
      <c r="H329" s="9"/>
      <c r="I329" s="9"/>
      <c r="J329" s="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customFormat="false" ht="15.75" hidden="false" customHeight="true" outlineLevel="0" collapsed="false">
      <c r="A330" s="2"/>
      <c r="B330" s="2"/>
      <c r="C330" s="2"/>
      <c r="D330" s="2"/>
      <c r="E330" s="9"/>
      <c r="F330" s="9"/>
      <c r="G330" s="9"/>
      <c r="H330" s="9"/>
      <c r="I330" s="9"/>
      <c r="J330" s="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 customFormat="false" ht="15.75" hidden="false" customHeight="true" outlineLevel="0" collapsed="false">
      <c r="A331" s="2"/>
      <c r="B331" s="2"/>
      <c r="C331" s="2"/>
      <c r="D331" s="2"/>
      <c r="E331" s="9"/>
      <c r="F331" s="9"/>
      <c r="G331" s="9"/>
      <c r="H331" s="9"/>
      <c r="I331" s="9"/>
      <c r="J331" s="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customFormat="false" ht="15.75" hidden="false" customHeight="true" outlineLevel="0" collapsed="false">
      <c r="A332" s="2"/>
      <c r="B332" s="2"/>
      <c r="C332" s="2"/>
      <c r="D332" s="2"/>
      <c r="E332" s="9"/>
      <c r="F332" s="9"/>
      <c r="G332" s="9"/>
      <c r="H332" s="9"/>
      <c r="I332" s="9"/>
      <c r="J332" s="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customFormat="false" ht="15.75" hidden="false" customHeight="true" outlineLevel="0" collapsed="false">
      <c r="A333" s="2"/>
      <c r="B333" s="2"/>
      <c r="C333" s="2"/>
      <c r="D333" s="2"/>
      <c r="E333" s="9"/>
      <c r="F333" s="9"/>
      <c r="G333" s="9"/>
      <c r="H333" s="9"/>
      <c r="I333" s="9"/>
      <c r="J333" s="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customFormat="false" ht="15.75" hidden="false" customHeight="true" outlineLevel="0" collapsed="false">
      <c r="A334" s="2"/>
      <c r="B334" s="2"/>
      <c r="C334" s="2"/>
      <c r="D334" s="2"/>
      <c r="E334" s="9"/>
      <c r="F334" s="9"/>
      <c r="G334" s="9"/>
      <c r="H334" s="9"/>
      <c r="I334" s="9"/>
      <c r="J334" s="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customFormat="false" ht="15.75" hidden="false" customHeight="true" outlineLevel="0" collapsed="false">
      <c r="A335" s="2"/>
      <c r="B335" s="2"/>
      <c r="C335" s="2"/>
      <c r="D335" s="2"/>
      <c r="E335" s="9"/>
      <c r="F335" s="9"/>
      <c r="G335" s="9"/>
      <c r="H335" s="9"/>
      <c r="I335" s="9"/>
      <c r="J335" s="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customFormat="false" ht="15.75" hidden="false" customHeight="true" outlineLevel="0" collapsed="false">
      <c r="A336" s="2"/>
      <c r="B336" s="2"/>
      <c r="C336" s="2"/>
      <c r="D336" s="2"/>
      <c r="E336" s="9"/>
      <c r="F336" s="9"/>
      <c r="G336" s="9"/>
      <c r="H336" s="9"/>
      <c r="I336" s="9"/>
      <c r="J336" s="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customFormat="false" ht="15.75" hidden="false" customHeight="true" outlineLevel="0" collapsed="false">
      <c r="A337" s="2"/>
      <c r="B337" s="2"/>
      <c r="C337" s="2"/>
      <c r="D337" s="2"/>
      <c r="E337" s="9"/>
      <c r="F337" s="9"/>
      <c r="G337" s="9"/>
      <c r="H337" s="9"/>
      <c r="I337" s="9"/>
      <c r="J337" s="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customFormat="false" ht="15.75" hidden="false" customHeight="true" outlineLevel="0" collapsed="false">
      <c r="A338" s="2"/>
      <c r="B338" s="2"/>
      <c r="C338" s="2"/>
      <c r="D338" s="2"/>
      <c r="E338" s="9"/>
      <c r="F338" s="9"/>
      <c r="G338" s="9"/>
      <c r="H338" s="9"/>
      <c r="I338" s="9"/>
      <c r="J338" s="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customFormat="false" ht="15.75" hidden="false" customHeight="true" outlineLevel="0" collapsed="false">
      <c r="A339" s="2"/>
      <c r="B339" s="2"/>
      <c r="C339" s="2"/>
      <c r="D339" s="2"/>
      <c r="E339" s="9"/>
      <c r="F339" s="9"/>
      <c r="G339" s="9"/>
      <c r="H339" s="9"/>
      <c r="I339" s="9"/>
      <c r="J339" s="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customFormat="false" ht="15.75" hidden="false" customHeight="true" outlineLevel="0" collapsed="false">
      <c r="A340" s="2"/>
      <c r="B340" s="2"/>
      <c r="C340" s="2"/>
      <c r="D340" s="2"/>
      <c r="E340" s="9"/>
      <c r="F340" s="9"/>
      <c r="G340" s="9"/>
      <c r="H340" s="9"/>
      <c r="I340" s="9"/>
      <c r="J340" s="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customFormat="false" ht="15.75" hidden="false" customHeight="true" outlineLevel="0" collapsed="false">
      <c r="A341" s="2"/>
      <c r="B341" s="2"/>
      <c r="C341" s="2"/>
      <c r="D341" s="2"/>
      <c r="E341" s="9"/>
      <c r="F341" s="9"/>
      <c r="G341" s="9"/>
      <c r="H341" s="9"/>
      <c r="I341" s="9"/>
      <c r="J341" s="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customFormat="false" ht="15.75" hidden="false" customHeight="true" outlineLevel="0" collapsed="false">
      <c r="A342" s="2"/>
      <c r="B342" s="2"/>
      <c r="C342" s="2"/>
      <c r="D342" s="2"/>
      <c r="E342" s="9"/>
      <c r="F342" s="9"/>
      <c r="G342" s="9"/>
      <c r="H342" s="9"/>
      <c r="I342" s="9"/>
      <c r="J342" s="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customFormat="false" ht="15.75" hidden="false" customHeight="true" outlineLevel="0" collapsed="false">
      <c r="A343" s="2"/>
      <c r="B343" s="2"/>
      <c r="C343" s="2"/>
      <c r="D343" s="2"/>
      <c r="E343" s="9"/>
      <c r="F343" s="9"/>
      <c r="G343" s="9"/>
      <c r="H343" s="9"/>
      <c r="I343" s="9"/>
      <c r="J343" s="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customFormat="false" ht="15.75" hidden="false" customHeight="true" outlineLevel="0" collapsed="false">
      <c r="A344" s="2"/>
      <c r="B344" s="2"/>
      <c r="C344" s="2"/>
      <c r="D344" s="2"/>
      <c r="E344" s="9"/>
      <c r="F344" s="9"/>
      <c r="G344" s="9"/>
      <c r="H344" s="9"/>
      <c r="I344" s="9"/>
      <c r="J344" s="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customFormat="false" ht="15.75" hidden="false" customHeight="true" outlineLevel="0" collapsed="false">
      <c r="A345" s="2"/>
      <c r="B345" s="2"/>
      <c r="C345" s="2"/>
      <c r="D345" s="2"/>
      <c r="E345" s="9"/>
      <c r="F345" s="9"/>
      <c r="G345" s="9"/>
      <c r="H345" s="9"/>
      <c r="I345" s="9"/>
      <c r="J345" s="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customFormat="false" ht="15.75" hidden="false" customHeight="true" outlineLevel="0" collapsed="false">
      <c r="A346" s="2"/>
      <c r="B346" s="2"/>
      <c r="C346" s="2"/>
      <c r="D346" s="2"/>
      <c r="E346" s="9"/>
      <c r="F346" s="9"/>
      <c r="G346" s="9"/>
      <c r="H346" s="9"/>
      <c r="I346" s="9"/>
      <c r="J346" s="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customFormat="false" ht="15.75" hidden="false" customHeight="true" outlineLevel="0" collapsed="false">
      <c r="A347" s="2"/>
      <c r="B347" s="2"/>
      <c r="C347" s="2"/>
      <c r="D347" s="2"/>
      <c r="E347" s="9"/>
      <c r="F347" s="9"/>
      <c r="G347" s="9"/>
      <c r="H347" s="9"/>
      <c r="I347" s="9"/>
      <c r="J347" s="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customFormat="false" ht="15.75" hidden="false" customHeight="true" outlineLevel="0" collapsed="false">
      <c r="A348" s="2"/>
      <c r="B348" s="2"/>
      <c r="C348" s="2"/>
      <c r="D348" s="2"/>
      <c r="E348" s="9"/>
      <c r="F348" s="9"/>
      <c r="G348" s="9"/>
      <c r="H348" s="9"/>
      <c r="I348" s="9"/>
      <c r="J348" s="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customFormat="false" ht="15.75" hidden="false" customHeight="true" outlineLevel="0" collapsed="false">
      <c r="A349" s="2"/>
      <c r="B349" s="2"/>
      <c r="C349" s="2"/>
      <c r="D349" s="2"/>
      <c r="E349" s="9"/>
      <c r="F349" s="9"/>
      <c r="G349" s="9"/>
      <c r="H349" s="9"/>
      <c r="I349" s="9"/>
      <c r="J349" s="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customFormat="false" ht="15.75" hidden="false" customHeight="true" outlineLevel="0" collapsed="false">
      <c r="A350" s="2"/>
      <c r="B350" s="2"/>
      <c r="C350" s="2"/>
      <c r="D350" s="2"/>
      <c r="E350" s="9"/>
      <c r="F350" s="9"/>
      <c r="G350" s="9"/>
      <c r="H350" s="9"/>
      <c r="I350" s="9"/>
      <c r="J350" s="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customFormat="false" ht="15.75" hidden="false" customHeight="true" outlineLevel="0" collapsed="false">
      <c r="A351" s="2"/>
      <c r="B351" s="2"/>
      <c r="C351" s="2"/>
      <c r="D351" s="2"/>
      <c r="E351" s="9"/>
      <c r="F351" s="9"/>
      <c r="G351" s="9"/>
      <c r="H351" s="9"/>
      <c r="I351" s="9"/>
      <c r="J351" s="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customFormat="false" ht="15.75" hidden="false" customHeight="true" outlineLevel="0" collapsed="false">
      <c r="A352" s="2"/>
      <c r="B352" s="2"/>
      <c r="C352" s="2"/>
      <c r="D352" s="2"/>
      <c r="E352" s="9"/>
      <c r="F352" s="9"/>
      <c r="G352" s="9"/>
      <c r="H352" s="9"/>
      <c r="I352" s="9"/>
      <c r="J352" s="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customFormat="false" ht="15.75" hidden="false" customHeight="true" outlineLevel="0" collapsed="false">
      <c r="A353" s="2"/>
      <c r="B353" s="2"/>
      <c r="C353" s="2"/>
      <c r="D353" s="2"/>
      <c r="E353" s="9"/>
      <c r="F353" s="9"/>
      <c r="G353" s="9"/>
      <c r="H353" s="9"/>
      <c r="I353" s="9"/>
      <c r="J353" s="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customFormat="false" ht="15.75" hidden="false" customHeight="true" outlineLevel="0" collapsed="false">
      <c r="A354" s="2"/>
      <c r="B354" s="2"/>
      <c r="C354" s="2"/>
      <c r="D354" s="2"/>
      <c r="E354" s="9"/>
      <c r="F354" s="9"/>
      <c r="G354" s="9"/>
      <c r="H354" s="9"/>
      <c r="I354" s="9"/>
      <c r="J354" s="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 customFormat="false" ht="15.75" hidden="false" customHeight="true" outlineLevel="0" collapsed="false">
      <c r="A355" s="2"/>
      <c r="B355" s="2"/>
      <c r="C355" s="2"/>
      <c r="D355" s="2"/>
      <c r="E355" s="9"/>
      <c r="F355" s="9"/>
      <c r="G355" s="9"/>
      <c r="H355" s="9"/>
      <c r="I355" s="9"/>
      <c r="J355" s="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customFormat="false" ht="15.75" hidden="false" customHeight="true" outlineLevel="0" collapsed="false">
      <c r="A356" s="2"/>
      <c r="B356" s="2"/>
      <c r="C356" s="2"/>
      <c r="D356" s="2"/>
      <c r="E356" s="9"/>
      <c r="F356" s="9"/>
      <c r="G356" s="9"/>
      <c r="H356" s="9"/>
      <c r="I356" s="9"/>
      <c r="J356" s="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customFormat="false" ht="15.75" hidden="false" customHeight="true" outlineLevel="0" collapsed="false">
      <c r="A357" s="2"/>
      <c r="B357" s="2"/>
      <c r="C357" s="2"/>
      <c r="D357" s="2"/>
      <c r="E357" s="9"/>
      <c r="F357" s="9"/>
      <c r="G357" s="9"/>
      <c r="H357" s="9"/>
      <c r="I357" s="9"/>
      <c r="J357" s="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customFormat="false" ht="15.75" hidden="false" customHeight="true" outlineLevel="0" collapsed="false">
      <c r="A358" s="2"/>
      <c r="B358" s="2"/>
      <c r="C358" s="2"/>
      <c r="D358" s="2"/>
      <c r="E358" s="9"/>
      <c r="F358" s="9"/>
      <c r="G358" s="9"/>
      <c r="H358" s="9"/>
      <c r="I358" s="9"/>
      <c r="J358" s="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customFormat="false" ht="15.75" hidden="false" customHeight="true" outlineLevel="0" collapsed="false">
      <c r="A359" s="2"/>
      <c r="B359" s="2"/>
      <c r="C359" s="2"/>
      <c r="D359" s="2"/>
      <c r="E359" s="9"/>
      <c r="F359" s="9"/>
      <c r="G359" s="9"/>
      <c r="H359" s="9"/>
      <c r="I359" s="9"/>
      <c r="J359" s="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customFormat="false" ht="15.75" hidden="false" customHeight="true" outlineLevel="0" collapsed="false">
      <c r="A360" s="2"/>
      <c r="B360" s="2"/>
      <c r="C360" s="2"/>
      <c r="D360" s="2"/>
      <c r="E360" s="9"/>
      <c r="F360" s="9"/>
      <c r="G360" s="9"/>
      <c r="H360" s="9"/>
      <c r="I360" s="9"/>
      <c r="J360" s="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customFormat="false" ht="15.75" hidden="false" customHeight="true" outlineLevel="0" collapsed="false">
      <c r="A361" s="2"/>
      <c r="B361" s="2"/>
      <c r="C361" s="2"/>
      <c r="D361" s="2"/>
      <c r="E361" s="9"/>
      <c r="F361" s="9"/>
      <c r="G361" s="9"/>
      <c r="H361" s="9"/>
      <c r="I361" s="9"/>
      <c r="J361" s="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customFormat="false" ht="15.75" hidden="false" customHeight="true" outlineLevel="0" collapsed="false">
      <c r="A362" s="2"/>
      <c r="B362" s="2"/>
      <c r="C362" s="2"/>
      <c r="D362" s="2"/>
      <c r="E362" s="9"/>
      <c r="F362" s="9"/>
      <c r="G362" s="9"/>
      <c r="H362" s="9"/>
      <c r="I362" s="9"/>
      <c r="J362" s="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customFormat="false" ht="15.75" hidden="false" customHeight="true" outlineLevel="0" collapsed="false">
      <c r="A363" s="2"/>
      <c r="B363" s="2"/>
      <c r="C363" s="2"/>
      <c r="D363" s="2"/>
      <c r="E363" s="9"/>
      <c r="F363" s="9"/>
      <c r="G363" s="9"/>
      <c r="H363" s="9"/>
      <c r="I363" s="9"/>
      <c r="J363" s="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 customFormat="false" ht="15.75" hidden="false" customHeight="true" outlineLevel="0" collapsed="false">
      <c r="A364" s="2"/>
      <c r="B364" s="2"/>
      <c r="C364" s="2"/>
      <c r="D364" s="2"/>
      <c r="E364" s="9"/>
      <c r="F364" s="9"/>
      <c r="G364" s="9"/>
      <c r="H364" s="9"/>
      <c r="I364" s="9"/>
      <c r="J364" s="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customFormat="false" ht="15.75" hidden="false" customHeight="true" outlineLevel="0" collapsed="false">
      <c r="A365" s="2"/>
      <c r="B365" s="2"/>
      <c r="C365" s="2"/>
      <c r="D365" s="2"/>
      <c r="E365" s="9"/>
      <c r="F365" s="9"/>
      <c r="G365" s="9"/>
      <c r="H365" s="9"/>
      <c r="I365" s="9"/>
      <c r="J365" s="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customFormat="false" ht="15.75" hidden="false" customHeight="true" outlineLevel="0" collapsed="false">
      <c r="A366" s="2"/>
      <c r="B366" s="2"/>
      <c r="C366" s="2"/>
      <c r="D366" s="2"/>
      <c r="E366" s="9"/>
      <c r="F366" s="9"/>
      <c r="G366" s="9"/>
      <c r="H366" s="9"/>
      <c r="I366" s="9"/>
      <c r="J366" s="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customFormat="false" ht="15.75" hidden="false" customHeight="true" outlineLevel="0" collapsed="false">
      <c r="A367" s="2"/>
      <c r="B367" s="2"/>
      <c r="C367" s="2"/>
      <c r="D367" s="2"/>
      <c r="E367" s="9"/>
      <c r="F367" s="9"/>
      <c r="G367" s="9"/>
      <c r="H367" s="9"/>
      <c r="I367" s="9"/>
      <c r="J367" s="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customFormat="false" ht="15.75" hidden="false" customHeight="true" outlineLevel="0" collapsed="false">
      <c r="A368" s="2"/>
      <c r="B368" s="2"/>
      <c r="C368" s="2"/>
      <c r="D368" s="2"/>
      <c r="E368" s="9"/>
      <c r="F368" s="9"/>
      <c r="G368" s="9"/>
      <c r="H368" s="9"/>
      <c r="I368" s="9"/>
      <c r="J368" s="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customFormat="false" ht="15.75" hidden="false" customHeight="true" outlineLevel="0" collapsed="false">
      <c r="A369" s="2"/>
      <c r="B369" s="2"/>
      <c r="C369" s="2"/>
      <c r="D369" s="2"/>
      <c r="E369" s="9"/>
      <c r="F369" s="9"/>
      <c r="G369" s="9"/>
      <c r="H369" s="9"/>
      <c r="I369" s="9"/>
      <c r="J369" s="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customFormat="false" ht="15.75" hidden="false" customHeight="true" outlineLevel="0" collapsed="false">
      <c r="A370" s="2"/>
      <c r="B370" s="2"/>
      <c r="C370" s="2"/>
      <c r="D370" s="2"/>
      <c r="E370" s="9"/>
      <c r="F370" s="9"/>
      <c r="G370" s="9"/>
      <c r="H370" s="9"/>
      <c r="I370" s="9"/>
      <c r="J370" s="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customFormat="false" ht="15.75" hidden="false" customHeight="true" outlineLevel="0" collapsed="false">
      <c r="A371" s="2"/>
      <c r="B371" s="2"/>
      <c r="C371" s="2"/>
      <c r="D371" s="2"/>
      <c r="E371" s="9"/>
      <c r="F371" s="9"/>
      <c r="G371" s="9"/>
      <c r="H371" s="9"/>
      <c r="I371" s="9"/>
      <c r="J371" s="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customFormat="false" ht="15.75" hidden="false" customHeight="true" outlineLevel="0" collapsed="false">
      <c r="A372" s="2"/>
      <c r="B372" s="2"/>
      <c r="C372" s="2"/>
      <c r="D372" s="2"/>
      <c r="E372" s="9"/>
      <c r="F372" s="9"/>
      <c r="G372" s="9"/>
      <c r="H372" s="9"/>
      <c r="I372" s="9"/>
      <c r="J372" s="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 customFormat="false" ht="15.75" hidden="false" customHeight="true" outlineLevel="0" collapsed="false">
      <c r="A373" s="2"/>
      <c r="B373" s="2"/>
      <c r="C373" s="2"/>
      <c r="D373" s="2"/>
      <c r="E373" s="9"/>
      <c r="F373" s="9"/>
      <c r="G373" s="9"/>
      <c r="H373" s="9"/>
      <c r="I373" s="9"/>
      <c r="J373" s="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customFormat="false" ht="15.75" hidden="false" customHeight="true" outlineLevel="0" collapsed="false">
      <c r="A374" s="2"/>
      <c r="B374" s="2"/>
      <c r="C374" s="2"/>
      <c r="D374" s="2"/>
      <c r="E374" s="9"/>
      <c r="F374" s="9"/>
      <c r="G374" s="9"/>
      <c r="H374" s="9"/>
      <c r="I374" s="9"/>
      <c r="J374" s="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customFormat="false" ht="15.75" hidden="false" customHeight="true" outlineLevel="0" collapsed="false">
      <c r="A375" s="2"/>
      <c r="B375" s="2"/>
      <c r="C375" s="2"/>
      <c r="D375" s="2"/>
      <c r="E375" s="9"/>
      <c r="F375" s="9"/>
      <c r="G375" s="9"/>
      <c r="H375" s="9"/>
      <c r="I375" s="9"/>
      <c r="J375" s="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customFormat="false" ht="15.75" hidden="false" customHeight="true" outlineLevel="0" collapsed="false">
      <c r="A376" s="2"/>
      <c r="B376" s="2"/>
      <c r="C376" s="2"/>
      <c r="D376" s="2"/>
      <c r="E376" s="9"/>
      <c r="F376" s="9"/>
      <c r="G376" s="9"/>
      <c r="H376" s="9"/>
      <c r="I376" s="9"/>
      <c r="J376" s="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customFormat="false" ht="15.75" hidden="false" customHeight="true" outlineLevel="0" collapsed="false">
      <c r="A377" s="2"/>
      <c r="B377" s="2"/>
      <c r="C377" s="2"/>
      <c r="D377" s="2"/>
      <c r="E377" s="9"/>
      <c r="F377" s="9"/>
      <c r="G377" s="9"/>
      <c r="H377" s="9"/>
      <c r="I377" s="9"/>
      <c r="J377" s="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customFormat="false" ht="15.75" hidden="false" customHeight="true" outlineLevel="0" collapsed="false">
      <c r="A378" s="2"/>
      <c r="B378" s="2"/>
      <c r="C378" s="2"/>
      <c r="D378" s="2"/>
      <c r="E378" s="9"/>
      <c r="F378" s="9"/>
      <c r="G378" s="9"/>
      <c r="H378" s="9"/>
      <c r="I378" s="9"/>
      <c r="J378" s="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customFormat="false" ht="15.75" hidden="false" customHeight="true" outlineLevel="0" collapsed="false">
      <c r="A379" s="2"/>
      <c r="B379" s="2"/>
      <c r="C379" s="2"/>
      <c r="D379" s="2"/>
      <c r="E379" s="9"/>
      <c r="F379" s="9"/>
      <c r="G379" s="9"/>
      <c r="H379" s="9"/>
      <c r="I379" s="9"/>
      <c r="J379" s="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customFormat="false" ht="15.75" hidden="false" customHeight="true" outlineLevel="0" collapsed="false">
      <c r="A380" s="2"/>
      <c r="B380" s="2"/>
      <c r="C380" s="2"/>
      <c r="D380" s="2"/>
      <c r="E380" s="9"/>
      <c r="F380" s="9"/>
      <c r="G380" s="9"/>
      <c r="H380" s="9"/>
      <c r="I380" s="9"/>
      <c r="J380" s="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customFormat="false" ht="15.75" hidden="false" customHeight="true" outlineLevel="0" collapsed="false">
      <c r="A381" s="2"/>
      <c r="B381" s="2"/>
      <c r="C381" s="2"/>
      <c r="D381" s="2"/>
      <c r="E381" s="9"/>
      <c r="F381" s="9"/>
      <c r="G381" s="9"/>
      <c r="H381" s="9"/>
      <c r="I381" s="9"/>
      <c r="J381" s="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customFormat="false" ht="15.75" hidden="false" customHeight="true" outlineLevel="0" collapsed="false">
      <c r="A382" s="2"/>
      <c r="B382" s="2"/>
      <c r="C382" s="2"/>
      <c r="D382" s="2"/>
      <c r="E382" s="9"/>
      <c r="F382" s="9"/>
      <c r="G382" s="9"/>
      <c r="H382" s="9"/>
      <c r="I382" s="9"/>
      <c r="J382" s="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customFormat="false" ht="15.75" hidden="false" customHeight="true" outlineLevel="0" collapsed="false">
      <c r="A383" s="2"/>
      <c r="B383" s="2"/>
      <c r="C383" s="2"/>
      <c r="D383" s="2"/>
      <c r="E383" s="9"/>
      <c r="F383" s="9"/>
      <c r="G383" s="9"/>
      <c r="H383" s="9"/>
      <c r="I383" s="9"/>
      <c r="J383" s="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customFormat="false" ht="15.75" hidden="false" customHeight="true" outlineLevel="0" collapsed="false">
      <c r="A384" s="2"/>
      <c r="B384" s="2"/>
      <c r="C384" s="2"/>
      <c r="D384" s="2"/>
      <c r="E384" s="9"/>
      <c r="F384" s="9"/>
      <c r="G384" s="9"/>
      <c r="H384" s="9"/>
      <c r="I384" s="9"/>
      <c r="J384" s="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customFormat="false" ht="15.75" hidden="false" customHeight="true" outlineLevel="0" collapsed="false">
      <c r="A385" s="2"/>
      <c r="B385" s="2"/>
      <c r="C385" s="2"/>
      <c r="D385" s="2"/>
      <c r="E385" s="9"/>
      <c r="F385" s="9"/>
      <c r="G385" s="9"/>
      <c r="H385" s="9"/>
      <c r="I385" s="9"/>
      <c r="J385" s="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customFormat="false" ht="15.75" hidden="false" customHeight="true" outlineLevel="0" collapsed="false">
      <c r="A386" s="2"/>
      <c r="B386" s="2"/>
      <c r="C386" s="2"/>
      <c r="D386" s="2"/>
      <c r="E386" s="9"/>
      <c r="F386" s="9"/>
      <c r="G386" s="9"/>
      <c r="H386" s="9"/>
      <c r="I386" s="9"/>
      <c r="J386" s="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 customFormat="false" ht="15.75" hidden="false" customHeight="true" outlineLevel="0" collapsed="false">
      <c r="A387" s="2"/>
      <c r="B387" s="2"/>
      <c r="C387" s="2"/>
      <c r="D387" s="2"/>
      <c r="E387" s="9"/>
      <c r="F387" s="9"/>
      <c r="G387" s="9"/>
      <c r="H387" s="9"/>
      <c r="I387" s="9"/>
      <c r="J387" s="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customFormat="false" ht="15.75" hidden="false" customHeight="true" outlineLevel="0" collapsed="false">
      <c r="A388" s="2"/>
      <c r="B388" s="2"/>
      <c r="C388" s="2"/>
      <c r="D388" s="2"/>
      <c r="E388" s="9"/>
      <c r="F388" s="9"/>
      <c r="G388" s="9"/>
      <c r="H388" s="9"/>
      <c r="I388" s="9"/>
      <c r="J388" s="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customFormat="false" ht="15.75" hidden="false" customHeight="true" outlineLevel="0" collapsed="false">
      <c r="A389" s="2"/>
      <c r="B389" s="2"/>
      <c r="C389" s="2"/>
      <c r="D389" s="2"/>
      <c r="E389" s="9"/>
      <c r="F389" s="9"/>
      <c r="G389" s="9"/>
      <c r="H389" s="9"/>
      <c r="I389" s="9"/>
      <c r="J389" s="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customFormat="false" ht="15.75" hidden="false" customHeight="true" outlineLevel="0" collapsed="false">
      <c r="A390" s="2"/>
      <c r="B390" s="2"/>
      <c r="C390" s="2"/>
      <c r="D390" s="2"/>
      <c r="E390" s="9"/>
      <c r="F390" s="9"/>
      <c r="G390" s="9"/>
      <c r="H390" s="9"/>
      <c r="I390" s="9"/>
      <c r="J390" s="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customFormat="false" ht="15.75" hidden="false" customHeight="true" outlineLevel="0" collapsed="false">
      <c r="A391" s="2"/>
      <c r="B391" s="2"/>
      <c r="C391" s="2"/>
      <c r="D391" s="2"/>
      <c r="E391" s="9"/>
      <c r="F391" s="9"/>
      <c r="G391" s="9"/>
      <c r="H391" s="9"/>
      <c r="I391" s="9"/>
      <c r="J391" s="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customFormat="false" ht="15.75" hidden="false" customHeight="true" outlineLevel="0" collapsed="false">
      <c r="A392" s="2"/>
      <c r="B392" s="2"/>
      <c r="C392" s="2"/>
      <c r="D392" s="2"/>
      <c r="E392" s="9"/>
      <c r="F392" s="9"/>
      <c r="G392" s="9"/>
      <c r="H392" s="9"/>
      <c r="I392" s="9"/>
      <c r="J392" s="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customFormat="false" ht="15.75" hidden="false" customHeight="true" outlineLevel="0" collapsed="false">
      <c r="A393" s="2"/>
      <c r="B393" s="2"/>
      <c r="C393" s="2"/>
      <c r="D393" s="2"/>
      <c r="E393" s="9"/>
      <c r="F393" s="9"/>
      <c r="G393" s="9"/>
      <c r="H393" s="9"/>
      <c r="I393" s="9"/>
      <c r="J393" s="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customFormat="false" ht="15.75" hidden="false" customHeight="true" outlineLevel="0" collapsed="false">
      <c r="A394" s="2"/>
      <c r="B394" s="2"/>
      <c r="C394" s="2"/>
      <c r="D394" s="2"/>
      <c r="E394" s="9"/>
      <c r="F394" s="9"/>
      <c r="G394" s="9"/>
      <c r="H394" s="9"/>
      <c r="I394" s="9"/>
      <c r="J394" s="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customFormat="false" ht="15.75" hidden="false" customHeight="true" outlineLevel="0" collapsed="false">
      <c r="A395" s="2"/>
      <c r="B395" s="2"/>
      <c r="C395" s="2"/>
      <c r="D395" s="2"/>
      <c r="E395" s="9"/>
      <c r="F395" s="9"/>
      <c r="G395" s="9"/>
      <c r="H395" s="9"/>
      <c r="I395" s="9"/>
      <c r="J395" s="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customFormat="false" ht="15.75" hidden="false" customHeight="true" outlineLevel="0" collapsed="false">
      <c r="A396" s="2"/>
      <c r="B396" s="2"/>
      <c r="C396" s="2"/>
      <c r="D396" s="2"/>
      <c r="E396" s="9"/>
      <c r="F396" s="9"/>
      <c r="G396" s="9"/>
      <c r="H396" s="9"/>
      <c r="I396" s="9"/>
      <c r="J396" s="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customFormat="false" ht="15.75" hidden="false" customHeight="true" outlineLevel="0" collapsed="false">
      <c r="A397" s="2"/>
      <c r="B397" s="2"/>
      <c r="C397" s="2"/>
      <c r="D397" s="2"/>
      <c r="E397" s="9"/>
      <c r="F397" s="9"/>
      <c r="G397" s="9"/>
      <c r="H397" s="9"/>
      <c r="I397" s="9"/>
      <c r="J397" s="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customFormat="false" ht="15.75" hidden="false" customHeight="true" outlineLevel="0" collapsed="false">
      <c r="A398" s="2"/>
      <c r="B398" s="2"/>
      <c r="C398" s="2"/>
      <c r="D398" s="2"/>
      <c r="E398" s="9"/>
      <c r="F398" s="9"/>
      <c r="G398" s="9"/>
      <c r="H398" s="9"/>
      <c r="I398" s="9"/>
      <c r="J398" s="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customFormat="false" ht="15.75" hidden="false" customHeight="true" outlineLevel="0" collapsed="false">
      <c r="A399" s="2"/>
      <c r="B399" s="2"/>
      <c r="C399" s="2"/>
      <c r="D399" s="2"/>
      <c r="E399" s="9"/>
      <c r="F399" s="9"/>
      <c r="G399" s="9"/>
      <c r="H399" s="9"/>
      <c r="I399" s="9"/>
      <c r="J399" s="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customFormat="false" ht="15.75" hidden="false" customHeight="true" outlineLevel="0" collapsed="false">
      <c r="A400" s="2"/>
      <c r="B400" s="2"/>
      <c r="C400" s="2"/>
      <c r="D400" s="2"/>
      <c r="E400" s="9"/>
      <c r="F400" s="9"/>
      <c r="G400" s="9"/>
      <c r="H400" s="9"/>
      <c r="I400" s="9"/>
      <c r="J400" s="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customFormat="false" ht="15.75" hidden="false" customHeight="true" outlineLevel="0" collapsed="false">
      <c r="A401" s="2"/>
      <c r="B401" s="2"/>
      <c r="C401" s="2"/>
      <c r="D401" s="2"/>
      <c r="E401" s="9"/>
      <c r="F401" s="9"/>
      <c r="G401" s="9"/>
      <c r="H401" s="9"/>
      <c r="I401" s="9"/>
      <c r="J401" s="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customFormat="false" ht="15.75" hidden="false" customHeight="true" outlineLevel="0" collapsed="false">
      <c r="A402" s="2"/>
      <c r="B402" s="2"/>
      <c r="C402" s="2"/>
      <c r="D402" s="2"/>
      <c r="E402" s="9"/>
      <c r="F402" s="9"/>
      <c r="G402" s="9"/>
      <c r="H402" s="9"/>
      <c r="I402" s="9"/>
      <c r="J402" s="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customFormat="false" ht="15.75" hidden="false" customHeight="true" outlineLevel="0" collapsed="false">
      <c r="A403" s="2"/>
      <c r="B403" s="2"/>
      <c r="C403" s="2"/>
      <c r="D403" s="2"/>
      <c r="E403" s="9"/>
      <c r="F403" s="9"/>
      <c r="G403" s="9"/>
      <c r="H403" s="9"/>
      <c r="I403" s="9"/>
      <c r="J403" s="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customFormat="false" ht="15.75" hidden="false" customHeight="true" outlineLevel="0" collapsed="false">
      <c r="A404" s="2"/>
      <c r="B404" s="2"/>
      <c r="C404" s="2"/>
      <c r="D404" s="2"/>
      <c r="E404" s="9"/>
      <c r="F404" s="9"/>
      <c r="G404" s="9"/>
      <c r="H404" s="9"/>
      <c r="I404" s="9"/>
      <c r="J404" s="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customFormat="false" ht="15.75" hidden="false" customHeight="true" outlineLevel="0" collapsed="false">
      <c r="A405" s="2"/>
      <c r="B405" s="2"/>
      <c r="C405" s="2"/>
      <c r="D405" s="2"/>
      <c r="E405" s="9"/>
      <c r="F405" s="9"/>
      <c r="G405" s="9"/>
      <c r="H405" s="9"/>
      <c r="I405" s="9"/>
      <c r="J405" s="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customFormat="false" ht="15.75" hidden="false" customHeight="true" outlineLevel="0" collapsed="false">
      <c r="A406" s="2"/>
      <c r="B406" s="2"/>
      <c r="C406" s="2"/>
      <c r="D406" s="2"/>
      <c r="E406" s="9"/>
      <c r="F406" s="9"/>
      <c r="G406" s="9"/>
      <c r="H406" s="9"/>
      <c r="I406" s="9"/>
      <c r="J406" s="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customFormat="false" ht="15.75" hidden="false" customHeight="true" outlineLevel="0" collapsed="false">
      <c r="A407" s="2"/>
      <c r="B407" s="2"/>
      <c r="C407" s="2"/>
      <c r="D407" s="2"/>
      <c r="E407" s="9"/>
      <c r="F407" s="9"/>
      <c r="G407" s="9"/>
      <c r="H407" s="9"/>
      <c r="I407" s="9"/>
      <c r="J407" s="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customFormat="false" ht="15.75" hidden="false" customHeight="true" outlineLevel="0" collapsed="false">
      <c r="A408" s="2"/>
      <c r="B408" s="2"/>
      <c r="C408" s="2"/>
      <c r="D408" s="2"/>
      <c r="E408" s="9"/>
      <c r="F408" s="9"/>
      <c r="G408" s="9"/>
      <c r="H408" s="9"/>
      <c r="I408" s="9"/>
      <c r="J408" s="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customFormat="false" ht="15.75" hidden="false" customHeight="true" outlineLevel="0" collapsed="false">
      <c r="A409" s="2"/>
      <c r="B409" s="2"/>
      <c r="C409" s="2"/>
      <c r="D409" s="2"/>
      <c r="E409" s="9"/>
      <c r="F409" s="9"/>
      <c r="G409" s="9"/>
      <c r="H409" s="9"/>
      <c r="I409" s="9"/>
      <c r="J409" s="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customFormat="false" ht="15.75" hidden="false" customHeight="true" outlineLevel="0" collapsed="false">
      <c r="A410" s="2"/>
      <c r="B410" s="2"/>
      <c r="C410" s="2"/>
      <c r="D410" s="2"/>
      <c r="E410" s="9"/>
      <c r="F410" s="9"/>
      <c r="G410" s="9"/>
      <c r="H410" s="9"/>
      <c r="I410" s="9"/>
      <c r="J410" s="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customFormat="false" ht="15.75" hidden="false" customHeight="true" outlineLevel="0" collapsed="false">
      <c r="A411" s="2"/>
      <c r="B411" s="2"/>
      <c r="C411" s="2"/>
      <c r="D411" s="2"/>
      <c r="E411" s="9"/>
      <c r="F411" s="9"/>
      <c r="G411" s="9"/>
      <c r="H411" s="9"/>
      <c r="I411" s="9"/>
      <c r="J411" s="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customFormat="false" ht="15.75" hidden="false" customHeight="true" outlineLevel="0" collapsed="false">
      <c r="A412" s="2"/>
      <c r="B412" s="2"/>
      <c r="C412" s="2"/>
      <c r="D412" s="2"/>
      <c r="E412" s="9"/>
      <c r="F412" s="9"/>
      <c r="G412" s="9"/>
      <c r="H412" s="9"/>
      <c r="I412" s="9"/>
      <c r="J412" s="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customFormat="false" ht="15.75" hidden="false" customHeight="true" outlineLevel="0" collapsed="false">
      <c r="A413" s="2"/>
      <c r="B413" s="2"/>
      <c r="C413" s="2"/>
      <c r="D413" s="2"/>
      <c r="E413" s="9"/>
      <c r="F413" s="9"/>
      <c r="G413" s="9"/>
      <c r="H413" s="9"/>
      <c r="I413" s="9"/>
      <c r="J413" s="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customFormat="false" ht="15.75" hidden="false" customHeight="true" outlineLevel="0" collapsed="false">
      <c r="A414" s="2"/>
      <c r="B414" s="2"/>
      <c r="C414" s="2"/>
      <c r="D414" s="2"/>
      <c r="E414" s="9"/>
      <c r="F414" s="9"/>
      <c r="G414" s="9"/>
      <c r="H414" s="9"/>
      <c r="I414" s="9"/>
      <c r="J414" s="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 customFormat="false" ht="15.75" hidden="false" customHeight="true" outlineLevel="0" collapsed="false">
      <c r="A415" s="2"/>
      <c r="B415" s="2"/>
      <c r="C415" s="2"/>
      <c r="D415" s="2"/>
      <c r="E415" s="9"/>
      <c r="F415" s="9"/>
      <c r="G415" s="9"/>
      <c r="H415" s="9"/>
      <c r="I415" s="9"/>
      <c r="J415" s="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customFormat="false" ht="15.75" hidden="false" customHeight="true" outlineLevel="0" collapsed="false">
      <c r="A416" s="2"/>
      <c r="B416" s="2"/>
      <c r="C416" s="2"/>
      <c r="D416" s="2"/>
      <c r="E416" s="9"/>
      <c r="F416" s="9"/>
      <c r="G416" s="9"/>
      <c r="H416" s="9"/>
      <c r="I416" s="9"/>
      <c r="J416" s="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customFormat="false" ht="15.75" hidden="false" customHeight="true" outlineLevel="0" collapsed="false">
      <c r="A417" s="2"/>
      <c r="B417" s="2"/>
      <c r="C417" s="2"/>
      <c r="D417" s="2"/>
      <c r="E417" s="9"/>
      <c r="F417" s="9"/>
      <c r="G417" s="9"/>
      <c r="H417" s="9"/>
      <c r="I417" s="9"/>
      <c r="J417" s="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customFormat="false" ht="15.75" hidden="false" customHeight="true" outlineLevel="0" collapsed="false">
      <c r="A418" s="2"/>
      <c r="B418" s="2"/>
      <c r="C418" s="2"/>
      <c r="D418" s="2"/>
      <c r="E418" s="9"/>
      <c r="F418" s="9"/>
      <c r="G418" s="9"/>
      <c r="H418" s="9"/>
      <c r="I418" s="9"/>
      <c r="J418" s="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customFormat="false" ht="15.75" hidden="false" customHeight="true" outlineLevel="0" collapsed="false">
      <c r="A419" s="2"/>
      <c r="B419" s="2"/>
      <c r="C419" s="2"/>
      <c r="D419" s="2"/>
      <c r="E419" s="9"/>
      <c r="F419" s="9"/>
      <c r="G419" s="9"/>
      <c r="H419" s="9"/>
      <c r="I419" s="9"/>
      <c r="J419" s="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customFormat="false" ht="15.75" hidden="false" customHeight="true" outlineLevel="0" collapsed="false">
      <c r="A420" s="2"/>
      <c r="B420" s="2"/>
      <c r="C420" s="2"/>
      <c r="D420" s="2"/>
      <c r="E420" s="9"/>
      <c r="F420" s="9"/>
      <c r="G420" s="9"/>
      <c r="H420" s="9"/>
      <c r="I420" s="9"/>
      <c r="J420" s="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customFormat="false" ht="15.75" hidden="false" customHeight="true" outlineLevel="0" collapsed="false">
      <c r="A421" s="2"/>
      <c r="B421" s="2"/>
      <c r="C421" s="2"/>
      <c r="D421" s="2"/>
      <c r="E421" s="9"/>
      <c r="F421" s="9"/>
      <c r="G421" s="9"/>
      <c r="H421" s="9"/>
      <c r="I421" s="9"/>
      <c r="J421" s="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customFormat="false" ht="15.75" hidden="false" customHeight="true" outlineLevel="0" collapsed="false">
      <c r="A422" s="2"/>
      <c r="B422" s="2"/>
      <c r="C422" s="2"/>
      <c r="D422" s="2"/>
      <c r="E422" s="9"/>
      <c r="F422" s="9"/>
      <c r="G422" s="9"/>
      <c r="H422" s="9"/>
      <c r="I422" s="9"/>
      <c r="J422" s="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customFormat="false" ht="15.75" hidden="false" customHeight="true" outlineLevel="0" collapsed="false">
      <c r="A423" s="2"/>
      <c r="B423" s="2"/>
      <c r="C423" s="2"/>
      <c r="D423" s="2"/>
      <c r="E423" s="9"/>
      <c r="F423" s="9"/>
      <c r="G423" s="9"/>
      <c r="H423" s="9"/>
      <c r="I423" s="9"/>
      <c r="J423" s="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customFormat="false" ht="15.75" hidden="false" customHeight="true" outlineLevel="0" collapsed="false">
      <c r="A424" s="2"/>
      <c r="B424" s="2"/>
      <c r="C424" s="2"/>
      <c r="D424" s="2"/>
      <c r="E424" s="9"/>
      <c r="F424" s="9"/>
      <c r="G424" s="9"/>
      <c r="H424" s="9"/>
      <c r="I424" s="9"/>
      <c r="J424" s="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customFormat="false" ht="15.75" hidden="false" customHeight="true" outlineLevel="0" collapsed="false">
      <c r="A425" s="2"/>
      <c r="B425" s="2"/>
      <c r="C425" s="2"/>
      <c r="D425" s="2"/>
      <c r="E425" s="9"/>
      <c r="F425" s="9"/>
      <c r="G425" s="9"/>
      <c r="H425" s="9"/>
      <c r="I425" s="9"/>
      <c r="J425" s="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customFormat="false" ht="15.75" hidden="false" customHeight="true" outlineLevel="0" collapsed="false">
      <c r="A426" s="2"/>
      <c r="B426" s="2"/>
      <c r="C426" s="2"/>
      <c r="D426" s="2"/>
      <c r="E426" s="9"/>
      <c r="F426" s="9"/>
      <c r="G426" s="9"/>
      <c r="H426" s="9"/>
      <c r="I426" s="9"/>
      <c r="J426" s="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customFormat="false" ht="15.75" hidden="false" customHeight="true" outlineLevel="0" collapsed="false">
      <c r="A427" s="2"/>
      <c r="B427" s="2"/>
      <c r="C427" s="2"/>
      <c r="D427" s="2"/>
      <c r="E427" s="9"/>
      <c r="F427" s="9"/>
      <c r="G427" s="9"/>
      <c r="H427" s="9"/>
      <c r="I427" s="9"/>
      <c r="J427" s="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customFormat="false" ht="15.75" hidden="false" customHeight="true" outlineLevel="0" collapsed="false">
      <c r="A428" s="2"/>
      <c r="B428" s="2"/>
      <c r="C428" s="2"/>
      <c r="D428" s="2"/>
      <c r="E428" s="9"/>
      <c r="F428" s="9"/>
      <c r="G428" s="9"/>
      <c r="H428" s="9"/>
      <c r="I428" s="9"/>
      <c r="J428" s="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 customFormat="false" ht="15.75" hidden="false" customHeight="true" outlineLevel="0" collapsed="false">
      <c r="A429" s="2"/>
      <c r="B429" s="2"/>
      <c r="C429" s="2"/>
      <c r="D429" s="2"/>
      <c r="E429" s="9"/>
      <c r="F429" s="9"/>
      <c r="G429" s="9"/>
      <c r="H429" s="9"/>
      <c r="I429" s="9"/>
      <c r="J429" s="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customFormat="false" ht="15.75" hidden="false" customHeight="true" outlineLevel="0" collapsed="false">
      <c r="A430" s="2"/>
      <c r="B430" s="2"/>
      <c r="C430" s="2"/>
      <c r="D430" s="2"/>
      <c r="E430" s="9"/>
      <c r="F430" s="9"/>
      <c r="G430" s="9"/>
      <c r="H430" s="9"/>
      <c r="I430" s="9"/>
      <c r="J430" s="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customFormat="false" ht="15.75" hidden="false" customHeight="true" outlineLevel="0" collapsed="false">
      <c r="A431" s="2"/>
      <c r="B431" s="2"/>
      <c r="C431" s="2"/>
      <c r="D431" s="2"/>
      <c r="E431" s="9"/>
      <c r="F431" s="9"/>
      <c r="G431" s="9"/>
      <c r="H431" s="9"/>
      <c r="I431" s="9"/>
      <c r="J431" s="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customFormat="false" ht="15.75" hidden="false" customHeight="true" outlineLevel="0" collapsed="false">
      <c r="A432" s="2"/>
      <c r="B432" s="2"/>
      <c r="C432" s="2"/>
      <c r="D432" s="2"/>
      <c r="E432" s="9"/>
      <c r="F432" s="9"/>
      <c r="G432" s="9"/>
      <c r="H432" s="9"/>
      <c r="I432" s="9"/>
      <c r="J432" s="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customFormat="false" ht="15.75" hidden="false" customHeight="true" outlineLevel="0" collapsed="false">
      <c r="A433" s="2"/>
      <c r="B433" s="2"/>
      <c r="C433" s="2"/>
      <c r="D433" s="2"/>
      <c r="E433" s="9"/>
      <c r="F433" s="9"/>
      <c r="G433" s="9"/>
      <c r="H433" s="9"/>
      <c r="I433" s="9"/>
      <c r="J433" s="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customFormat="false" ht="15.75" hidden="false" customHeight="true" outlineLevel="0" collapsed="false">
      <c r="A434" s="2"/>
      <c r="B434" s="2"/>
      <c r="C434" s="2"/>
      <c r="D434" s="2"/>
      <c r="E434" s="9"/>
      <c r="F434" s="9"/>
      <c r="G434" s="9"/>
      <c r="H434" s="9"/>
      <c r="I434" s="9"/>
      <c r="J434" s="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customFormat="false" ht="15.75" hidden="false" customHeight="true" outlineLevel="0" collapsed="false">
      <c r="A435" s="2"/>
      <c r="B435" s="2"/>
      <c r="C435" s="2"/>
      <c r="D435" s="2"/>
      <c r="E435" s="9"/>
      <c r="F435" s="9"/>
      <c r="G435" s="9"/>
      <c r="H435" s="9"/>
      <c r="I435" s="9"/>
      <c r="J435" s="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customFormat="false" ht="15.75" hidden="false" customHeight="true" outlineLevel="0" collapsed="false">
      <c r="A436" s="2"/>
      <c r="B436" s="2"/>
      <c r="C436" s="2"/>
      <c r="D436" s="2"/>
      <c r="E436" s="9"/>
      <c r="F436" s="9"/>
      <c r="G436" s="9"/>
      <c r="H436" s="9"/>
      <c r="I436" s="9"/>
      <c r="J436" s="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customFormat="false" ht="15.75" hidden="false" customHeight="true" outlineLevel="0" collapsed="false">
      <c r="A437" s="2"/>
      <c r="B437" s="2"/>
      <c r="C437" s="2"/>
      <c r="D437" s="2"/>
      <c r="E437" s="9"/>
      <c r="F437" s="9"/>
      <c r="G437" s="9"/>
      <c r="H437" s="9"/>
      <c r="I437" s="9"/>
      <c r="J437" s="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customFormat="false" ht="15.75" hidden="false" customHeight="true" outlineLevel="0" collapsed="false">
      <c r="A438" s="2"/>
      <c r="B438" s="2"/>
      <c r="C438" s="2"/>
      <c r="D438" s="2"/>
      <c r="E438" s="9"/>
      <c r="F438" s="9"/>
      <c r="G438" s="9"/>
      <c r="H438" s="9"/>
      <c r="I438" s="9"/>
      <c r="J438" s="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customFormat="false" ht="15.75" hidden="false" customHeight="true" outlineLevel="0" collapsed="false">
      <c r="A439" s="2"/>
      <c r="B439" s="2"/>
      <c r="C439" s="2"/>
      <c r="D439" s="2"/>
      <c r="E439" s="9"/>
      <c r="F439" s="9"/>
      <c r="G439" s="9"/>
      <c r="H439" s="9"/>
      <c r="I439" s="9"/>
      <c r="J439" s="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customFormat="false" ht="15.75" hidden="false" customHeight="true" outlineLevel="0" collapsed="false">
      <c r="A440" s="2"/>
      <c r="B440" s="2"/>
      <c r="C440" s="2"/>
      <c r="D440" s="2"/>
      <c r="E440" s="9"/>
      <c r="F440" s="9"/>
      <c r="G440" s="9"/>
      <c r="H440" s="9"/>
      <c r="I440" s="9"/>
      <c r="J440" s="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customFormat="false" ht="15.75" hidden="false" customHeight="true" outlineLevel="0" collapsed="false">
      <c r="A441" s="2"/>
      <c r="B441" s="2"/>
      <c r="C441" s="2"/>
      <c r="D441" s="2"/>
      <c r="E441" s="9"/>
      <c r="F441" s="9"/>
      <c r="G441" s="9"/>
      <c r="H441" s="9"/>
      <c r="I441" s="9"/>
      <c r="J441" s="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customFormat="false" ht="15.75" hidden="false" customHeight="true" outlineLevel="0" collapsed="false">
      <c r="A442" s="2"/>
      <c r="B442" s="2"/>
      <c r="C442" s="2"/>
      <c r="D442" s="2"/>
      <c r="E442" s="9"/>
      <c r="F442" s="9"/>
      <c r="G442" s="9"/>
      <c r="H442" s="9"/>
      <c r="I442" s="9"/>
      <c r="J442" s="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 customFormat="false" ht="15.75" hidden="false" customHeight="true" outlineLevel="0" collapsed="false">
      <c r="A443" s="2"/>
      <c r="B443" s="2"/>
      <c r="C443" s="2"/>
      <c r="D443" s="2"/>
      <c r="E443" s="9"/>
      <c r="F443" s="9"/>
      <c r="G443" s="9"/>
      <c r="H443" s="9"/>
      <c r="I443" s="9"/>
      <c r="J443" s="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customFormat="false" ht="15.75" hidden="false" customHeight="true" outlineLevel="0" collapsed="false">
      <c r="A444" s="2"/>
      <c r="B444" s="2"/>
      <c r="C444" s="2"/>
      <c r="D444" s="2"/>
      <c r="E444" s="9"/>
      <c r="F444" s="9"/>
      <c r="G444" s="9"/>
      <c r="H444" s="9"/>
      <c r="I444" s="9"/>
      <c r="J444" s="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customFormat="false" ht="15.75" hidden="false" customHeight="true" outlineLevel="0" collapsed="false">
      <c r="A445" s="2"/>
      <c r="B445" s="2"/>
      <c r="C445" s="2"/>
      <c r="D445" s="2"/>
      <c r="E445" s="9"/>
      <c r="F445" s="9"/>
      <c r="G445" s="9"/>
      <c r="H445" s="9"/>
      <c r="I445" s="9"/>
      <c r="J445" s="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customFormat="false" ht="15.75" hidden="false" customHeight="true" outlineLevel="0" collapsed="false">
      <c r="A446" s="2"/>
      <c r="B446" s="2"/>
      <c r="C446" s="2"/>
      <c r="D446" s="2"/>
      <c r="E446" s="9"/>
      <c r="F446" s="9"/>
      <c r="G446" s="9"/>
      <c r="H446" s="9"/>
      <c r="I446" s="9"/>
      <c r="J446" s="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customFormat="false" ht="15.75" hidden="false" customHeight="true" outlineLevel="0" collapsed="false">
      <c r="A447" s="2"/>
      <c r="B447" s="2"/>
      <c r="C447" s="2"/>
      <c r="D447" s="2"/>
      <c r="E447" s="9"/>
      <c r="F447" s="9"/>
      <c r="G447" s="9"/>
      <c r="H447" s="9"/>
      <c r="I447" s="9"/>
      <c r="J447" s="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customFormat="false" ht="15.75" hidden="false" customHeight="true" outlineLevel="0" collapsed="false">
      <c r="A448" s="2"/>
      <c r="B448" s="2"/>
      <c r="C448" s="2"/>
      <c r="D448" s="2"/>
      <c r="E448" s="9"/>
      <c r="F448" s="9"/>
      <c r="G448" s="9"/>
      <c r="H448" s="9"/>
      <c r="I448" s="9"/>
      <c r="J448" s="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customFormat="false" ht="15.75" hidden="false" customHeight="true" outlineLevel="0" collapsed="false">
      <c r="A449" s="2"/>
      <c r="B449" s="2"/>
      <c r="C449" s="2"/>
      <c r="D449" s="2"/>
      <c r="E449" s="9"/>
      <c r="F449" s="9"/>
      <c r="G449" s="9"/>
      <c r="H449" s="9"/>
      <c r="I449" s="9"/>
      <c r="J449" s="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customFormat="false" ht="15.75" hidden="false" customHeight="true" outlineLevel="0" collapsed="false">
      <c r="A450" s="2"/>
      <c r="B450" s="2"/>
      <c r="C450" s="2"/>
      <c r="D450" s="2"/>
      <c r="E450" s="9"/>
      <c r="F450" s="9"/>
      <c r="G450" s="9"/>
      <c r="H450" s="9"/>
      <c r="I450" s="9"/>
      <c r="J450" s="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customFormat="false" ht="15.75" hidden="false" customHeight="true" outlineLevel="0" collapsed="false">
      <c r="A451" s="2"/>
      <c r="B451" s="2"/>
      <c r="C451" s="2"/>
      <c r="D451" s="2"/>
      <c r="E451" s="9"/>
      <c r="F451" s="9"/>
      <c r="G451" s="9"/>
      <c r="H451" s="9"/>
      <c r="I451" s="9"/>
      <c r="J451" s="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customFormat="false" ht="15.75" hidden="false" customHeight="true" outlineLevel="0" collapsed="false">
      <c r="A452" s="2"/>
      <c r="B452" s="2"/>
      <c r="C452" s="2"/>
      <c r="D452" s="2"/>
      <c r="E452" s="9"/>
      <c r="F452" s="9"/>
      <c r="G452" s="9"/>
      <c r="H452" s="9"/>
      <c r="I452" s="9"/>
      <c r="J452" s="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customFormat="false" ht="15.75" hidden="false" customHeight="true" outlineLevel="0" collapsed="false">
      <c r="A453" s="2"/>
      <c r="B453" s="2"/>
      <c r="C453" s="2"/>
      <c r="D453" s="2"/>
      <c r="E453" s="9"/>
      <c r="F453" s="9"/>
      <c r="G453" s="9"/>
      <c r="H453" s="9"/>
      <c r="I453" s="9"/>
      <c r="J453" s="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customFormat="false" ht="15.75" hidden="false" customHeight="true" outlineLevel="0" collapsed="false">
      <c r="A454" s="2"/>
      <c r="B454" s="2"/>
      <c r="C454" s="2"/>
      <c r="D454" s="2"/>
      <c r="E454" s="9"/>
      <c r="F454" s="9"/>
      <c r="G454" s="9"/>
      <c r="H454" s="9"/>
      <c r="I454" s="9"/>
      <c r="J454" s="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customFormat="false" ht="15.75" hidden="false" customHeight="true" outlineLevel="0" collapsed="false">
      <c r="A455" s="2"/>
      <c r="B455" s="2"/>
      <c r="C455" s="2"/>
      <c r="D455" s="2"/>
      <c r="E455" s="9"/>
      <c r="F455" s="9"/>
      <c r="G455" s="9"/>
      <c r="H455" s="9"/>
      <c r="I455" s="9"/>
      <c r="J455" s="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customFormat="false" ht="15.75" hidden="false" customHeight="true" outlineLevel="0" collapsed="false">
      <c r="A456" s="2"/>
      <c r="B456" s="2"/>
      <c r="C456" s="2"/>
      <c r="D456" s="2"/>
      <c r="E456" s="9"/>
      <c r="F456" s="9"/>
      <c r="G456" s="9"/>
      <c r="H456" s="9"/>
      <c r="I456" s="9"/>
      <c r="J456" s="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customFormat="false" ht="15.75" hidden="false" customHeight="true" outlineLevel="0" collapsed="false">
      <c r="A457" s="2"/>
      <c r="B457" s="2"/>
      <c r="C457" s="2"/>
      <c r="D457" s="2"/>
      <c r="E457" s="9"/>
      <c r="F457" s="9"/>
      <c r="G457" s="9"/>
      <c r="H457" s="9"/>
      <c r="I457" s="9"/>
      <c r="J457" s="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customFormat="false" ht="15.75" hidden="false" customHeight="true" outlineLevel="0" collapsed="false">
      <c r="A458" s="2"/>
      <c r="B458" s="2"/>
      <c r="C458" s="2"/>
      <c r="D458" s="2"/>
      <c r="E458" s="9"/>
      <c r="F458" s="9"/>
      <c r="G458" s="9"/>
      <c r="H458" s="9"/>
      <c r="I458" s="9"/>
      <c r="J458" s="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customFormat="false" ht="15.75" hidden="false" customHeight="true" outlineLevel="0" collapsed="false">
      <c r="A459" s="2"/>
      <c r="B459" s="2"/>
      <c r="C459" s="2"/>
      <c r="D459" s="2"/>
      <c r="E459" s="9"/>
      <c r="F459" s="9"/>
      <c r="G459" s="9"/>
      <c r="H459" s="9"/>
      <c r="I459" s="9"/>
      <c r="J459" s="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customFormat="false" ht="15.75" hidden="false" customHeight="true" outlineLevel="0" collapsed="false">
      <c r="A460" s="2"/>
      <c r="B460" s="2"/>
      <c r="C460" s="2"/>
      <c r="D460" s="2"/>
      <c r="E460" s="9"/>
      <c r="F460" s="9"/>
      <c r="G460" s="9"/>
      <c r="H460" s="9"/>
      <c r="I460" s="9"/>
      <c r="J460" s="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customFormat="false" ht="15.75" hidden="false" customHeight="true" outlineLevel="0" collapsed="false">
      <c r="A461" s="2"/>
      <c r="B461" s="2"/>
      <c r="C461" s="2"/>
      <c r="D461" s="2"/>
      <c r="E461" s="9"/>
      <c r="F461" s="9"/>
      <c r="G461" s="9"/>
      <c r="H461" s="9"/>
      <c r="I461" s="9"/>
      <c r="J461" s="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customFormat="false" ht="15.75" hidden="false" customHeight="true" outlineLevel="0" collapsed="false">
      <c r="A462" s="2"/>
      <c r="B462" s="2"/>
      <c r="C462" s="2"/>
      <c r="D462" s="2"/>
      <c r="E462" s="9"/>
      <c r="F462" s="9"/>
      <c r="G462" s="9"/>
      <c r="H462" s="9"/>
      <c r="I462" s="9"/>
      <c r="J462" s="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customFormat="false" ht="15.75" hidden="false" customHeight="true" outlineLevel="0" collapsed="false">
      <c r="A463" s="2"/>
      <c r="B463" s="2"/>
      <c r="C463" s="2"/>
      <c r="D463" s="2"/>
      <c r="E463" s="9"/>
      <c r="F463" s="9"/>
      <c r="G463" s="9"/>
      <c r="H463" s="9"/>
      <c r="I463" s="9"/>
      <c r="J463" s="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customFormat="false" ht="15.75" hidden="false" customHeight="true" outlineLevel="0" collapsed="false">
      <c r="A464" s="2"/>
      <c r="B464" s="2"/>
      <c r="C464" s="2"/>
      <c r="D464" s="2"/>
      <c r="E464" s="9"/>
      <c r="F464" s="9"/>
      <c r="G464" s="9"/>
      <c r="H464" s="9"/>
      <c r="I464" s="9"/>
      <c r="J464" s="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customFormat="false" ht="15.75" hidden="false" customHeight="true" outlineLevel="0" collapsed="false">
      <c r="A465" s="2"/>
      <c r="B465" s="2"/>
      <c r="C465" s="2"/>
      <c r="D465" s="2"/>
      <c r="E465" s="9"/>
      <c r="F465" s="9"/>
      <c r="G465" s="9"/>
      <c r="H465" s="9"/>
      <c r="I465" s="9"/>
      <c r="J465" s="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customFormat="false" ht="15.75" hidden="false" customHeight="true" outlineLevel="0" collapsed="false">
      <c r="A466" s="2"/>
      <c r="B466" s="2"/>
      <c r="C466" s="2"/>
      <c r="D466" s="2"/>
      <c r="E466" s="9"/>
      <c r="F466" s="9"/>
      <c r="G466" s="9"/>
      <c r="H466" s="9"/>
      <c r="I466" s="9"/>
      <c r="J466" s="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  <row r="467" customFormat="false" ht="15.75" hidden="false" customHeight="true" outlineLevel="0" collapsed="false">
      <c r="A467" s="2"/>
      <c r="B467" s="2"/>
      <c r="C467" s="2"/>
      <c r="D467" s="2"/>
      <c r="E467" s="9"/>
      <c r="F467" s="9"/>
      <c r="G467" s="9"/>
      <c r="H467" s="9"/>
      <c r="I467" s="9"/>
      <c r="J467" s="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 customFormat="false" ht="15.75" hidden="false" customHeight="true" outlineLevel="0" collapsed="false">
      <c r="A468" s="2"/>
      <c r="B468" s="2"/>
      <c r="C468" s="2"/>
      <c r="D468" s="2"/>
      <c r="E468" s="9"/>
      <c r="F468" s="9"/>
      <c r="G468" s="9"/>
      <c r="H468" s="9"/>
      <c r="I468" s="9"/>
      <c r="J468" s="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 customFormat="false" ht="15.75" hidden="false" customHeight="true" outlineLevel="0" collapsed="false">
      <c r="A469" s="2"/>
      <c r="B469" s="2"/>
      <c r="C469" s="2"/>
      <c r="D469" s="2"/>
      <c r="E469" s="9"/>
      <c r="F469" s="9"/>
      <c r="G469" s="9"/>
      <c r="H469" s="9"/>
      <c r="I469" s="9"/>
      <c r="J469" s="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 customFormat="false" ht="15.75" hidden="false" customHeight="true" outlineLevel="0" collapsed="false">
      <c r="A470" s="2"/>
      <c r="B470" s="2"/>
      <c r="C470" s="2"/>
      <c r="D470" s="2"/>
      <c r="E470" s="9"/>
      <c r="F470" s="9"/>
      <c r="G470" s="9"/>
      <c r="H470" s="9"/>
      <c r="I470" s="9"/>
      <c r="J470" s="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 customFormat="false" ht="15.75" hidden="false" customHeight="true" outlineLevel="0" collapsed="false">
      <c r="A471" s="2"/>
      <c r="B471" s="2"/>
      <c r="C471" s="2"/>
      <c r="D471" s="2"/>
      <c r="E471" s="9"/>
      <c r="F471" s="9"/>
      <c r="G471" s="9"/>
      <c r="H471" s="9"/>
      <c r="I471" s="9"/>
      <c r="J471" s="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 customFormat="false" ht="15.75" hidden="false" customHeight="true" outlineLevel="0" collapsed="false">
      <c r="A472" s="2"/>
      <c r="B472" s="2"/>
      <c r="C472" s="2"/>
      <c r="D472" s="2"/>
      <c r="E472" s="9"/>
      <c r="F472" s="9"/>
      <c r="G472" s="9"/>
      <c r="H472" s="9"/>
      <c r="I472" s="9"/>
      <c r="J472" s="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 customFormat="false" ht="15.75" hidden="false" customHeight="true" outlineLevel="0" collapsed="false">
      <c r="A473" s="2"/>
      <c r="B473" s="2"/>
      <c r="C473" s="2"/>
      <c r="D473" s="2"/>
      <c r="E473" s="9"/>
      <c r="F473" s="9"/>
      <c r="G473" s="9"/>
      <c r="H473" s="9"/>
      <c r="I473" s="9"/>
      <c r="J473" s="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 customFormat="false" ht="15.75" hidden="false" customHeight="true" outlineLevel="0" collapsed="false">
      <c r="A474" s="2"/>
      <c r="B474" s="2"/>
      <c r="C474" s="2"/>
      <c r="D474" s="2"/>
      <c r="E474" s="9"/>
      <c r="F474" s="9"/>
      <c r="G474" s="9"/>
      <c r="H474" s="9"/>
      <c r="I474" s="9"/>
      <c r="J474" s="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 customFormat="false" ht="15.75" hidden="false" customHeight="true" outlineLevel="0" collapsed="false">
      <c r="A475" s="2"/>
      <c r="B475" s="2"/>
      <c r="C475" s="2"/>
      <c r="D475" s="2"/>
      <c r="E475" s="9"/>
      <c r="F475" s="9"/>
      <c r="G475" s="9"/>
      <c r="H475" s="9"/>
      <c r="I475" s="9"/>
      <c r="J475" s="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 customFormat="false" ht="15.75" hidden="false" customHeight="true" outlineLevel="0" collapsed="false">
      <c r="A476" s="2"/>
      <c r="B476" s="2"/>
      <c r="C476" s="2"/>
      <c r="D476" s="2"/>
      <c r="E476" s="9"/>
      <c r="F476" s="9"/>
      <c r="G476" s="9"/>
      <c r="H476" s="9"/>
      <c r="I476" s="9"/>
      <c r="J476" s="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 customFormat="false" ht="15.75" hidden="false" customHeight="true" outlineLevel="0" collapsed="false">
      <c r="A477" s="2"/>
      <c r="B477" s="2"/>
      <c r="C477" s="2"/>
      <c r="D477" s="2"/>
      <c r="E477" s="9"/>
      <c r="F477" s="9"/>
      <c r="G477" s="9"/>
      <c r="H477" s="9"/>
      <c r="I477" s="9"/>
      <c r="J477" s="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 customFormat="false" ht="15.75" hidden="false" customHeight="true" outlineLevel="0" collapsed="false">
      <c r="A478" s="2"/>
      <c r="B478" s="2"/>
      <c r="C478" s="2"/>
      <c r="D478" s="2"/>
      <c r="E478" s="9"/>
      <c r="F478" s="9"/>
      <c r="G478" s="9"/>
      <c r="H478" s="9"/>
      <c r="I478" s="9"/>
      <c r="J478" s="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 customFormat="false" ht="15.75" hidden="false" customHeight="true" outlineLevel="0" collapsed="false">
      <c r="A479" s="2"/>
      <c r="B479" s="2"/>
      <c r="C479" s="2"/>
      <c r="D479" s="2"/>
      <c r="E479" s="9"/>
      <c r="F479" s="9"/>
      <c r="G479" s="9"/>
      <c r="H479" s="9"/>
      <c r="I479" s="9"/>
      <c r="J479" s="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 customFormat="false" ht="15.75" hidden="false" customHeight="true" outlineLevel="0" collapsed="false">
      <c r="A480" s="2"/>
      <c r="B480" s="2"/>
      <c r="C480" s="2"/>
      <c r="D480" s="2"/>
      <c r="E480" s="9"/>
      <c r="F480" s="9"/>
      <c r="G480" s="9"/>
      <c r="H480" s="9"/>
      <c r="I480" s="9"/>
      <c r="J480" s="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 customFormat="false" ht="15.75" hidden="false" customHeight="true" outlineLevel="0" collapsed="false">
      <c r="A481" s="2"/>
      <c r="B481" s="2"/>
      <c r="C481" s="2"/>
      <c r="D481" s="2"/>
      <c r="E481" s="9"/>
      <c r="F481" s="9"/>
      <c r="G481" s="9"/>
      <c r="H481" s="9"/>
      <c r="I481" s="9"/>
      <c r="J481" s="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 customFormat="false" ht="15.75" hidden="false" customHeight="true" outlineLevel="0" collapsed="false">
      <c r="A482" s="2"/>
      <c r="B482" s="2"/>
      <c r="C482" s="2"/>
      <c r="D482" s="2"/>
      <c r="E482" s="9"/>
      <c r="F482" s="9"/>
      <c r="G482" s="9"/>
      <c r="H482" s="9"/>
      <c r="I482" s="9"/>
      <c r="J482" s="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 customFormat="false" ht="15.75" hidden="false" customHeight="true" outlineLevel="0" collapsed="false">
      <c r="A483" s="2"/>
      <c r="B483" s="2"/>
      <c r="C483" s="2"/>
      <c r="D483" s="2"/>
      <c r="E483" s="9"/>
      <c r="F483" s="9"/>
      <c r="G483" s="9"/>
      <c r="H483" s="9"/>
      <c r="I483" s="9"/>
      <c r="J483" s="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 customFormat="false" ht="15.75" hidden="false" customHeight="true" outlineLevel="0" collapsed="false">
      <c r="A484" s="2"/>
      <c r="B484" s="2"/>
      <c r="C484" s="2"/>
      <c r="D484" s="2"/>
      <c r="E484" s="9"/>
      <c r="F484" s="9"/>
      <c r="G484" s="9"/>
      <c r="H484" s="9"/>
      <c r="I484" s="9"/>
      <c r="J484" s="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 customFormat="false" ht="15.75" hidden="false" customHeight="true" outlineLevel="0" collapsed="false">
      <c r="A485" s="2"/>
      <c r="B485" s="2"/>
      <c r="C485" s="2"/>
      <c r="D485" s="2"/>
      <c r="E485" s="9"/>
      <c r="F485" s="9"/>
      <c r="G485" s="9"/>
      <c r="H485" s="9"/>
      <c r="I485" s="9"/>
      <c r="J485" s="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 customFormat="false" ht="15.75" hidden="false" customHeight="true" outlineLevel="0" collapsed="false">
      <c r="A486" s="2"/>
      <c r="B486" s="2"/>
      <c r="C486" s="2"/>
      <c r="D486" s="2"/>
      <c r="E486" s="9"/>
      <c r="F486" s="9"/>
      <c r="G486" s="9"/>
      <c r="H486" s="9"/>
      <c r="I486" s="9"/>
      <c r="J486" s="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 customFormat="false" ht="15.75" hidden="false" customHeight="true" outlineLevel="0" collapsed="false">
      <c r="A487" s="2"/>
      <c r="B487" s="2"/>
      <c r="C487" s="2"/>
      <c r="D487" s="2"/>
      <c r="E487" s="9"/>
      <c r="F487" s="9"/>
      <c r="G487" s="9"/>
      <c r="H487" s="9"/>
      <c r="I487" s="9"/>
      <c r="J487" s="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 customFormat="false" ht="15.75" hidden="false" customHeight="true" outlineLevel="0" collapsed="false">
      <c r="A488" s="2"/>
      <c r="B488" s="2"/>
      <c r="C488" s="2"/>
      <c r="D488" s="2"/>
      <c r="E488" s="9"/>
      <c r="F488" s="9"/>
      <c r="G488" s="9"/>
      <c r="H488" s="9"/>
      <c r="I488" s="9"/>
      <c r="J488" s="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 customFormat="false" ht="15.75" hidden="false" customHeight="true" outlineLevel="0" collapsed="false">
      <c r="A489" s="2"/>
      <c r="B489" s="2"/>
      <c r="C489" s="2"/>
      <c r="D489" s="2"/>
      <c r="E489" s="9"/>
      <c r="F489" s="9"/>
      <c r="G489" s="9"/>
      <c r="H489" s="9"/>
      <c r="I489" s="9"/>
      <c r="J489" s="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 customFormat="false" ht="15.75" hidden="false" customHeight="true" outlineLevel="0" collapsed="false">
      <c r="A490" s="2"/>
      <c r="B490" s="2"/>
      <c r="C490" s="2"/>
      <c r="D490" s="2"/>
      <c r="E490" s="9"/>
      <c r="F490" s="9"/>
      <c r="G490" s="9"/>
      <c r="H490" s="9"/>
      <c r="I490" s="9"/>
      <c r="J490" s="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</row>
    <row r="491" customFormat="false" ht="15.75" hidden="false" customHeight="true" outlineLevel="0" collapsed="false">
      <c r="A491" s="2"/>
      <c r="B491" s="2"/>
      <c r="C491" s="2"/>
      <c r="D491" s="2"/>
      <c r="E491" s="9"/>
      <c r="F491" s="9"/>
      <c r="G491" s="9"/>
      <c r="H491" s="9"/>
      <c r="I491" s="9"/>
      <c r="J491" s="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 customFormat="false" ht="15.75" hidden="false" customHeight="true" outlineLevel="0" collapsed="false">
      <c r="A492" s="2"/>
      <c r="B492" s="2"/>
      <c r="C492" s="2"/>
      <c r="D492" s="2"/>
      <c r="E492" s="9"/>
      <c r="F492" s="9"/>
      <c r="G492" s="9"/>
      <c r="H492" s="9"/>
      <c r="I492" s="9"/>
      <c r="J492" s="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 customFormat="false" ht="15.75" hidden="false" customHeight="true" outlineLevel="0" collapsed="false">
      <c r="A493" s="2"/>
      <c r="B493" s="2"/>
      <c r="C493" s="2"/>
      <c r="D493" s="2"/>
      <c r="E493" s="9"/>
      <c r="F493" s="9"/>
      <c r="G493" s="9"/>
      <c r="H493" s="9"/>
      <c r="I493" s="9"/>
      <c r="J493" s="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 customFormat="false" ht="15.75" hidden="false" customHeight="true" outlineLevel="0" collapsed="false">
      <c r="A494" s="2"/>
      <c r="B494" s="2"/>
      <c r="C494" s="2"/>
      <c r="D494" s="2"/>
      <c r="E494" s="9"/>
      <c r="F494" s="9"/>
      <c r="G494" s="9"/>
      <c r="H494" s="9"/>
      <c r="I494" s="9"/>
      <c r="J494" s="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 customFormat="false" ht="15.75" hidden="false" customHeight="true" outlineLevel="0" collapsed="false">
      <c r="A495" s="2"/>
      <c r="B495" s="2"/>
      <c r="C495" s="2"/>
      <c r="D495" s="2"/>
      <c r="E495" s="9"/>
      <c r="F495" s="9"/>
      <c r="G495" s="9"/>
      <c r="H495" s="9"/>
      <c r="I495" s="9"/>
      <c r="J495" s="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 customFormat="false" ht="15.75" hidden="false" customHeight="true" outlineLevel="0" collapsed="false">
      <c r="A496" s="2"/>
      <c r="B496" s="2"/>
      <c r="C496" s="2"/>
      <c r="D496" s="2"/>
      <c r="E496" s="9"/>
      <c r="F496" s="9"/>
      <c r="G496" s="9"/>
      <c r="H496" s="9"/>
      <c r="I496" s="9"/>
      <c r="J496" s="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 customFormat="false" ht="15.75" hidden="false" customHeight="true" outlineLevel="0" collapsed="false">
      <c r="A497" s="2"/>
      <c r="B497" s="2"/>
      <c r="C497" s="2"/>
      <c r="D497" s="2"/>
      <c r="E497" s="9"/>
      <c r="F497" s="9"/>
      <c r="G497" s="9"/>
      <c r="H497" s="9"/>
      <c r="I497" s="9"/>
      <c r="J497" s="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 customFormat="false" ht="15.75" hidden="false" customHeight="true" outlineLevel="0" collapsed="false">
      <c r="A498" s="2"/>
      <c r="B498" s="2"/>
      <c r="C498" s="2"/>
      <c r="D498" s="2"/>
      <c r="E498" s="9"/>
      <c r="F498" s="9"/>
      <c r="G498" s="9"/>
      <c r="H498" s="9"/>
      <c r="I498" s="9"/>
      <c r="J498" s="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 customFormat="false" ht="15.75" hidden="false" customHeight="true" outlineLevel="0" collapsed="false">
      <c r="A499" s="2"/>
      <c r="B499" s="2"/>
      <c r="C499" s="2"/>
      <c r="D499" s="2"/>
      <c r="E499" s="9"/>
      <c r="F499" s="9"/>
      <c r="G499" s="9"/>
      <c r="H499" s="9"/>
      <c r="I499" s="9"/>
      <c r="J499" s="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 customFormat="false" ht="15.75" hidden="false" customHeight="true" outlineLevel="0" collapsed="false">
      <c r="A500" s="2"/>
      <c r="B500" s="2"/>
      <c r="C500" s="2"/>
      <c r="D500" s="2"/>
      <c r="E500" s="9"/>
      <c r="F500" s="9"/>
      <c r="G500" s="9"/>
      <c r="H500" s="9"/>
      <c r="I500" s="9"/>
      <c r="J500" s="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 customFormat="false" ht="15.75" hidden="false" customHeight="true" outlineLevel="0" collapsed="false">
      <c r="A501" s="2"/>
      <c r="B501" s="2"/>
      <c r="C501" s="2"/>
      <c r="D501" s="2"/>
      <c r="E501" s="9"/>
      <c r="F501" s="9"/>
      <c r="G501" s="9"/>
      <c r="H501" s="9"/>
      <c r="I501" s="9"/>
      <c r="J501" s="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 customFormat="false" ht="15.75" hidden="false" customHeight="true" outlineLevel="0" collapsed="false">
      <c r="A502" s="2"/>
      <c r="B502" s="2"/>
      <c r="C502" s="2"/>
      <c r="D502" s="2"/>
      <c r="E502" s="9"/>
      <c r="F502" s="9"/>
      <c r="G502" s="9"/>
      <c r="H502" s="9"/>
      <c r="I502" s="9"/>
      <c r="J502" s="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 customFormat="false" ht="15.75" hidden="false" customHeight="true" outlineLevel="0" collapsed="false">
      <c r="A503" s="2"/>
      <c r="B503" s="2"/>
      <c r="C503" s="2"/>
      <c r="D503" s="2"/>
      <c r="E503" s="9"/>
      <c r="F503" s="9"/>
      <c r="G503" s="9"/>
      <c r="H503" s="9"/>
      <c r="I503" s="9"/>
      <c r="J503" s="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 customFormat="false" ht="15.75" hidden="false" customHeight="true" outlineLevel="0" collapsed="false">
      <c r="A504" s="2"/>
      <c r="B504" s="2"/>
      <c r="C504" s="2"/>
      <c r="D504" s="2"/>
      <c r="E504" s="9"/>
      <c r="F504" s="9"/>
      <c r="G504" s="9"/>
      <c r="H504" s="9"/>
      <c r="I504" s="9"/>
      <c r="J504" s="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 customFormat="false" ht="15.75" hidden="false" customHeight="true" outlineLevel="0" collapsed="false">
      <c r="A505" s="2"/>
      <c r="B505" s="2"/>
      <c r="C505" s="2"/>
      <c r="D505" s="2"/>
      <c r="E505" s="9"/>
      <c r="F505" s="9"/>
      <c r="G505" s="9"/>
      <c r="H505" s="9"/>
      <c r="I505" s="9"/>
      <c r="J505" s="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 customFormat="false" ht="15.75" hidden="false" customHeight="true" outlineLevel="0" collapsed="false">
      <c r="A506" s="2"/>
      <c r="B506" s="2"/>
      <c r="C506" s="2"/>
      <c r="D506" s="2"/>
      <c r="E506" s="9"/>
      <c r="F506" s="9"/>
      <c r="G506" s="9"/>
      <c r="H506" s="9"/>
      <c r="I506" s="9"/>
      <c r="J506" s="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 customFormat="false" ht="15.75" hidden="false" customHeight="true" outlineLevel="0" collapsed="false">
      <c r="A507" s="2"/>
      <c r="B507" s="2"/>
      <c r="C507" s="2"/>
      <c r="D507" s="2"/>
      <c r="E507" s="9"/>
      <c r="F507" s="9"/>
      <c r="G507" s="9"/>
      <c r="H507" s="9"/>
      <c r="I507" s="9"/>
      <c r="J507" s="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 customFormat="false" ht="15.75" hidden="false" customHeight="true" outlineLevel="0" collapsed="false">
      <c r="A508" s="2"/>
      <c r="B508" s="2"/>
      <c r="C508" s="2"/>
      <c r="D508" s="2"/>
      <c r="E508" s="9"/>
      <c r="F508" s="9"/>
      <c r="G508" s="9"/>
      <c r="H508" s="9"/>
      <c r="I508" s="9"/>
      <c r="J508" s="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 customFormat="false" ht="15.75" hidden="false" customHeight="true" outlineLevel="0" collapsed="false">
      <c r="A509" s="2"/>
      <c r="B509" s="2"/>
      <c r="C509" s="2"/>
      <c r="D509" s="2"/>
      <c r="E509" s="9"/>
      <c r="F509" s="9"/>
      <c r="G509" s="9"/>
      <c r="H509" s="9"/>
      <c r="I509" s="9"/>
      <c r="J509" s="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 customFormat="false" ht="15.75" hidden="false" customHeight="true" outlineLevel="0" collapsed="false">
      <c r="A510" s="2"/>
      <c r="B510" s="2"/>
      <c r="C510" s="2"/>
      <c r="D510" s="2"/>
      <c r="E510" s="9"/>
      <c r="F510" s="9"/>
      <c r="G510" s="9"/>
      <c r="H510" s="9"/>
      <c r="I510" s="9"/>
      <c r="J510" s="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 customFormat="false" ht="15.75" hidden="false" customHeight="true" outlineLevel="0" collapsed="false">
      <c r="A511" s="2"/>
      <c r="B511" s="2"/>
      <c r="C511" s="2"/>
      <c r="D511" s="2"/>
      <c r="E511" s="9"/>
      <c r="F511" s="9"/>
      <c r="G511" s="9"/>
      <c r="H511" s="9"/>
      <c r="I511" s="9"/>
      <c r="J511" s="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 customFormat="false" ht="15.75" hidden="false" customHeight="true" outlineLevel="0" collapsed="false">
      <c r="A512" s="2"/>
      <c r="B512" s="2"/>
      <c r="C512" s="2"/>
      <c r="D512" s="2"/>
      <c r="E512" s="9"/>
      <c r="F512" s="9"/>
      <c r="G512" s="9"/>
      <c r="H512" s="9"/>
      <c r="I512" s="9"/>
      <c r="J512" s="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 customFormat="false" ht="15.75" hidden="false" customHeight="true" outlineLevel="0" collapsed="false">
      <c r="A513" s="2"/>
      <c r="B513" s="2"/>
      <c r="C513" s="2"/>
      <c r="D513" s="2"/>
      <c r="E513" s="9"/>
      <c r="F513" s="9"/>
      <c r="G513" s="9"/>
      <c r="H513" s="9"/>
      <c r="I513" s="9"/>
      <c r="J513" s="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 customFormat="false" ht="15.75" hidden="false" customHeight="true" outlineLevel="0" collapsed="false">
      <c r="A514" s="2"/>
      <c r="B514" s="2"/>
      <c r="C514" s="2"/>
      <c r="D514" s="2"/>
      <c r="E514" s="9"/>
      <c r="F514" s="9"/>
      <c r="G514" s="9"/>
      <c r="H514" s="9"/>
      <c r="I514" s="9"/>
      <c r="J514" s="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</row>
    <row r="515" customFormat="false" ht="15.75" hidden="false" customHeight="true" outlineLevel="0" collapsed="false">
      <c r="A515" s="2"/>
      <c r="B515" s="2"/>
      <c r="C515" s="2"/>
      <c r="D515" s="2"/>
      <c r="E515" s="9"/>
      <c r="F515" s="9"/>
      <c r="G515" s="9"/>
      <c r="H515" s="9"/>
      <c r="I515" s="9"/>
      <c r="J515" s="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 customFormat="false" ht="15.75" hidden="false" customHeight="true" outlineLevel="0" collapsed="false">
      <c r="A516" s="2"/>
      <c r="B516" s="2"/>
      <c r="C516" s="2"/>
      <c r="D516" s="2"/>
      <c r="E516" s="9"/>
      <c r="F516" s="9"/>
      <c r="G516" s="9"/>
      <c r="H516" s="9"/>
      <c r="I516" s="9"/>
      <c r="J516" s="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 customFormat="false" ht="15.75" hidden="false" customHeight="true" outlineLevel="0" collapsed="false">
      <c r="A517" s="2"/>
      <c r="B517" s="2"/>
      <c r="C517" s="2"/>
      <c r="D517" s="2"/>
      <c r="E517" s="9"/>
      <c r="F517" s="9"/>
      <c r="G517" s="9"/>
      <c r="H517" s="9"/>
      <c r="I517" s="9"/>
      <c r="J517" s="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 customFormat="false" ht="15.75" hidden="false" customHeight="true" outlineLevel="0" collapsed="false">
      <c r="A518" s="2"/>
      <c r="B518" s="2"/>
      <c r="C518" s="2"/>
      <c r="D518" s="2"/>
      <c r="E518" s="9"/>
      <c r="F518" s="9"/>
      <c r="G518" s="9"/>
      <c r="H518" s="9"/>
      <c r="I518" s="9"/>
      <c r="J518" s="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 customFormat="false" ht="15.75" hidden="false" customHeight="true" outlineLevel="0" collapsed="false">
      <c r="A519" s="2"/>
      <c r="B519" s="2"/>
      <c r="C519" s="2"/>
      <c r="D519" s="2"/>
      <c r="E519" s="9"/>
      <c r="F519" s="9"/>
      <c r="G519" s="9"/>
      <c r="H519" s="9"/>
      <c r="I519" s="9"/>
      <c r="J519" s="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 customFormat="false" ht="15.75" hidden="false" customHeight="true" outlineLevel="0" collapsed="false">
      <c r="A520" s="2"/>
      <c r="B520" s="2"/>
      <c r="C520" s="2"/>
      <c r="D520" s="2"/>
      <c r="E520" s="9"/>
      <c r="F520" s="9"/>
      <c r="G520" s="9"/>
      <c r="H520" s="9"/>
      <c r="I520" s="9"/>
      <c r="J520" s="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 customFormat="false" ht="15.75" hidden="false" customHeight="true" outlineLevel="0" collapsed="false">
      <c r="A521" s="2"/>
      <c r="B521" s="2"/>
      <c r="C521" s="2"/>
      <c r="D521" s="2"/>
      <c r="E521" s="9"/>
      <c r="F521" s="9"/>
      <c r="G521" s="9"/>
      <c r="H521" s="9"/>
      <c r="I521" s="9"/>
      <c r="J521" s="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 customFormat="false" ht="15.75" hidden="false" customHeight="true" outlineLevel="0" collapsed="false">
      <c r="A522" s="2"/>
      <c r="B522" s="2"/>
      <c r="C522" s="2"/>
      <c r="D522" s="2"/>
      <c r="E522" s="9"/>
      <c r="F522" s="9"/>
      <c r="G522" s="9"/>
      <c r="H522" s="9"/>
      <c r="I522" s="9"/>
      <c r="J522" s="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 customFormat="false" ht="15.75" hidden="false" customHeight="true" outlineLevel="0" collapsed="false">
      <c r="A523" s="2"/>
      <c r="B523" s="2"/>
      <c r="C523" s="2"/>
      <c r="D523" s="2"/>
      <c r="E523" s="9"/>
      <c r="F523" s="9"/>
      <c r="G523" s="9"/>
      <c r="H523" s="9"/>
      <c r="I523" s="9"/>
      <c r="J523" s="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 customFormat="false" ht="15.75" hidden="false" customHeight="true" outlineLevel="0" collapsed="false">
      <c r="A524" s="2"/>
      <c r="B524" s="2"/>
      <c r="C524" s="2"/>
      <c r="D524" s="2"/>
      <c r="E524" s="9"/>
      <c r="F524" s="9"/>
      <c r="G524" s="9"/>
      <c r="H524" s="9"/>
      <c r="I524" s="9"/>
      <c r="J524" s="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 customFormat="false" ht="15.75" hidden="false" customHeight="true" outlineLevel="0" collapsed="false">
      <c r="A525" s="2"/>
      <c r="B525" s="2"/>
      <c r="C525" s="2"/>
      <c r="D525" s="2"/>
      <c r="E525" s="9"/>
      <c r="F525" s="9"/>
      <c r="G525" s="9"/>
      <c r="H525" s="9"/>
      <c r="I525" s="9"/>
      <c r="J525" s="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 customFormat="false" ht="15.75" hidden="false" customHeight="true" outlineLevel="0" collapsed="false">
      <c r="A526" s="2"/>
      <c r="B526" s="2"/>
      <c r="C526" s="2"/>
      <c r="D526" s="2"/>
      <c r="E526" s="9"/>
      <c r="F526" s="9"/>
      <c r="G526" s="9"/>
      <c r="H526" s="9"/>
      <c r="I526" s="9"/>
      <c r="J526" s="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 customFormat="false" ht="15.75" hidden="false" customHeight="true" outlineLevel="0" collapsed="false">
      <c r="A527" s="2"/>
      <c r="B527" s="2"/>
      <c r="C527" s="2"/>
      <c r="D527" s="2"/>
      <c r="E527" s="9"/>
      <c r="F527" s="9"/>
      <c r="G527" s="9"/>
      <c r="H527" s="9"/>
      <c r="I527" s="9"/>
      <c r="J527" s="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 customFormat="false" ht="15.75" hidden="false" customHeight="true" outlineLevel="0" collapsed="false">
      <c r="A528" s="2"/>
      <c r="B528" s="2"/>
      <c r="C528" s="2"/>
      <c r="D528" s="2"/>
      <c r="E528" s="9"/>
      <c r="F528" s="9"/>
      <c r="G528" s="9"/>
      <c r="H528" s="9"/>
      <c r="I528" s="9"/>
      <c r="J528" s="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 customFormat="false" ht="15.75" hidden="false" customHeight="true" outlineLevel="0" collapsed="false">
      <c r="A529" s="2"/>
      <c r="B529" s="2"/>
      <c r="C529" s="2"/>
      <c r="D529" s="2"/>
      <c r="E529" s="9"/>
      <c r="F529" s="9"/>
      <c r="G529" s="9"/>
      <c r="H529" s="9"/>
      <c r="I529" s="9"/>
      <c r="J529" s="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 customFormat="false" ht="15.75" hidden="false" customHeight="true" outlineLevel="0" collapsed="false">
      <c r="A530" s="2"/>
      <c r="B530" s="2"/>
      <c r="C530" s="2"/>
      <c r="D530" s="2"/>
      <c r="E530" s="9"/>
      <c r="F530" s="9"/>
      <c r="G530" s="9"/>
      <c r="H530" s="9"/>
      <c r="I530" s="9"/>
      <c r="J530" s="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 customFormat="false" ht="15.75" hidden="false" customHeight="true" outlineLevel="0" collapsed="false">
      <c r="A531" s="2"/>
      <c r="B531" s="2"/>
      <c r="C531" s="2"/>
      <c r="D531" s="2"/>
      <c r="E531" s="9"/>
      <c r="F531" s="9"/>
      <c r="G531" s="9"/>
      <c r="H531" s="9"/>
      <c r="I531" s="9"/>
      <c r="J531" s="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 customFormat="false" ht="15.75" hidden="false" customHeight="true" outlineLevel="0" collapsed="false">
      <c r="A532" s="2"/>
      <c r="B532" s="2"/>
      <c r="C532" s="2"/>
      <c r="D532" s="2"/>
      <c r="E532" s="9"/>
      <c r="F532" s="9"/>
      <c r="G532" s="9"/>
      <c r="H532" s="9"/>
      <c r="I532" s="9"/>
      <c r="J532" s="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 customFormat="false" ht="15.75" hidden="false" customHeight="true" outlineLevel="0" collapsed="false">
      <c r="A533" s="2"/>
      <c r="B533" s="2"/>
      <c r="C533" s="2"/>
      <c r="D533" s="2"/>
      <c r="E533" s="9"/>
      <c r="F533" s="9"/>
      <c r="G533" s="9"/>
      <c r="H533" s="9"/>
      <c r="I533" s="9"/>
      <c r="J533" s="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 customFormat="false" ht="15.75" hidden="false" customHeight="true" outlineLevel="0" collapsed="false">
      <c r="A534" s="2"/>
      <c r="B534" s="2"/>
      <c r="C534" s="2"/>
      <c r="D534" s="2"/>
      <c r="E534" s="9"/>
      <c r="F534" s="9"/>
      <c r="G534" s="9"/>
      <c r="H534" s="9"/>
      <c r="I534" s="9"/>
      <c r="J534" s="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 customFormat="false" ht="15.75" hidden="false" customHeight="true" outlineLevel="0" collapsed="false">
      <c r="A535" s="2"/>
      <c r="B535" s="2"/>
      <c r="C535" s="2"/>
      <c r="D535" s="2"/>
      <c r="E535" s="9"/>
      <c r="F535" s="9"/>
      <c r="G535" s="9"/>
      <c r="H535" s="9"/>
      <c r="I535" s="9"/>
      <c r="J535" s="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 customFormat="false" ht="15.75" hidden="false" customHeight="true" outlineLevel="0" collapsed="false">
      <c r="A536" s="2"/>
      <c r="B536" s="2"/>
      <c r="C536" s="2"/>
      <c r="D536" s="2"/>
      <c r="E536" s="9"/>
      <c r="F536" s="9"/>
      <c r="G536" s="9"/>
      <c r="H536" s="9"/>
      <c r="I536" s="9"/>
      <c r="J536" s="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 customFormat="false" ht="15.75" hidden="false" customHeight="true" outlineLevel="0" collapsed="false">
      <c r="A537" s="2"/>
      <c r="B537" s="2"/>
      <c r="C537" s="2"/>
      <c r="D537" s="2"/>
      <c r="E537" s="9"/>
      <c r="F537" s="9"/>
      <c r="G537" s="9"/>
      <c r="H537" s="9"/>
      <c r="I537" s="9"/>
      <c r="J537" s="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 customFormat="false" ht="15.75" hidden="false" customHeight="true" outlineLevel="0" collapsed="false">
      <c r="A538" s="2"/>
      <c r="B538" s="2"/>
      <c r="C538" s="2"/>
      <c r="D538" s="2"/>
      <c r="E538" s="9"/>
      <c r="F538" s="9"/>
      <c r="G538" s="9"/>
      <c r="H538" s="9"/>
      <c r="I538" s="9"/>
      <c r="J538" s="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</row>
    <row r="539" customFormat="false" ht="15.75" hidden="false" customHeight="true" outlineLevel="0" collapsed="false">
      <c r="A539" s="2"/>
      <c r="B539" s="2"/>
      <c r="C539" s="2"/>
      <c r="D539" s="2"/>
      <c r="E539" s="9"/>
      <c r="F539" s="9"/>
      <c r="G539" s="9"/>
      <c r="H539" s="9"/>
      <c r="I539" s="9"/>
      <c r="J539" s="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 customFormat="false" ht="15.75" hidden="false" customHeight="true" outlineLevel="0" collapsed="false">
      <c r="A540" s="2"/>
      <c r="B540" s="2"/>
      <c r="C540" s="2"/>
      <c r="D540" s="2"/>
      <c r="E540" s="9"/>
      <c r="F540" s="9"/>
      <c r="G540" s="9"/>
      <c r="H540" s="9"/>
      <c r="I540" s="9"/>
      <c r="J540" s="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 customFormat="false" ht="15.75" hidden="false" customHeight="true" outlineLevel="0" collapsed="false">
      <c r="A541" s="2"/>
      <c r="B541" s="2"/>
      <c r="C541" s="2"/>
      <c r="D541" s="2"/>
      <c r="E541" s="9"/>
      <c r="F541" s="9"/>
      <c r="G541" s="9"/>
      <c r="H541" s="9"/>
      <c r="I541" s="9"/>
      <c r="J541" s="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 customFormat="false" ht="15.75" hidden="false" customHeight="true" outlineLevel="0" collapsed="false">
      <c r="A542" s="2"/>
      <c r="B542" s="2"/>
      <c r="C542" s="2"/>
      <c r="D542" s="2"/>
      <c r="E542" s="9"/>
      <c r="F542" s="9"/>
      <c r="G542" s="9"/>
      <c r="H542" s="9"/>
      <c r="I542" s="9"/>
      <c r="J542" s="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 customFormat="false" ht="15.75" hidden="false" customHeight="true" outlineLevel="0" collapsed="false">
      <c r="A543" s="2"/>
      <c r="B543" s="2"/>
      <c r="C543" s="2"/>
      <c r="D543" s="2"/>
      <c r="E543" s="9"/>
      <c r="F543" s="9"/>
      <c r="G543" s="9"/>
      <c r="H543" s="9"/>
      <c r="I543" s="9"/>
      <c r="J543" s="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 customFormat="false" ht="15.75" hidden="false" customHeight="true" outlineLevel="0" collapsed="false">
      <c r="A544" s="2"/>
      <c r="B544" s="2"/>
      <c r="C544" s="2"/>
      <c r="D544" s="2"/>
      <c r="E544" s="9"/>
      <c r="F544" s="9"/>
      <c r="G544" s="9"/>
      <c r="H544" s="9"/>
      <c r="I544" s="9"/>
      <c r="J544" s="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 customFormat="false" ht="15.75" hidden="false" customHeight="true" outlineLevel="0" collapsed="false">
      <c r="A545" s="2"/>
      <c r="B545" s="2"/>
      <c r="C545" s="2"/>
      <c r="D545" s="2"/>
      <c r="E545" s="9"/>
      <c r="F545" s="9"/>
      <c r="G545" s="9"/>
      <c r="H545" s="9"/>
      <c r="I545" s="9"/>
      <c r="J545" s="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 customFormat="false" ht="15.75" hidden="false" customHeight="true" outlineLevel="0" collapsed="false">
      <c r="A546" s="2"/>
      <c r="B546" s="2"/>
      <c r="C546" s="2"/>
      <c r="D546" s="2"/>
      <c r="E546" s="9"/>
      <c r="F546" s="9"/>
      <c r="G546" s="9"/>
      <c r="H546" s="9"/>
      <c r="I546" s="9"/>
      <c r="J546" s="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 customFormat="false" ht="15.75" hidden="false" customHeight="true" outlineLevel="0" collapsed="false">
      <c r="A547" s="2"/>
      <c r="B547" s="2"/>
      <c r="C547" s="2"/>
      <c r="D547" s="2"/>
      <c r="E547" s="9"/>
      <c r="F547" s="9"/>
      <c r="G547" s="9"/>
      <c r="H547" s="9"/>
      <c r="I547" s="9"/>
      <c r="J547" s="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 customFormat="false" ht="15.75" hidden="false" customHeight="true" outlineLevel="0" collapsed="false">
      <c r="A548" s="2"/>
      <c r="B548" s="2"/>
      <c r="C548" s="2"/>
      <c r="D548" s="2"/>
      <c r="E548" s="9"/>
      <c r="F548" s="9"/>
      <c r="G548" s="9"/>
      <c r="H548" s="9"/>
      <c r="I548" s="9"/>
      <c r="J548" s="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 customFormat="false" ht="15.75" hidden="false" customHeight="true" outlineLevel="0" collapsed="false">
      <c r="A549" s="2"/>
      <c r="B549" s="2"/>
      <c r="C549" s="2"/>
      <c r="D549" s="2"/>
      <c r="E549" s="9"/>
      <c r="F549" s="9"/>
      <c r="G549" s="9"/>
      <c r="H549" s="9"/>
      <c r="I549" s="9"/>
      <c r="J549" s="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 customFormat="false" ht="15.75" hidden="false" customHeight="true" outlineLevel="0" collapsed="false">
      <c r="A550" s="2"/>
      <c r="B550" s="2"/>
      <c r="C550" s="2"/>
      <c r="D550" s="2"/>
      <c r="E550" s="9"/>
      <c r="F550" s="9"/>
      <c r="G550" s="9"/>
      <c r="H550" s="9"/>
      <c r="I550" s="9"/>
      <c r="J550" s="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 customFormat="false" ht="15.75" hidden="false" customHeight="true" outlineLevel="0" collapsed="false">
      <c r="A551" s="2"/>
      <c r="B551" s="2"/>
      <c r="C551" s="2"/>
      <c r="D551" s="2"/>
      <c r="E551" s="9"/>
      <c r="F551" s="9"/>
      <c r="G551" s="9"/>
      <c r="H551" s="9"/>
      <c r="I551" s="9"/>
      <c r="J551" s="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 customFormat="false" ht="15.75" hidden="false" customHeight="true" outlineLevel="0" collapsed="false">
      <c r="A552" s="2"/>
      <c r="B552" s="2"/>
      <c r="C552" s="2"/>
      <c r="D552" s="2"/>
      <c r="E552" s="9"/>
      <c r="F552" s="9"/>
      <c r="G552" s="9"/>
      <c r="H552" s="9"/>
      <c r="I552" s="9"/>
      <c r="J552" s="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 customFormat="false" ht="15.75" hidden="false" customHeight="true" outlineLevel="0" collapsed="false">
      <c r="A553" s="2"/>
      <c r="B553" s="2"/>
      <c r="C553" s="2"/>
      <c r="D553" s="2"/>
      <c r="E553" s="9"/>
      <c r="F553" s="9"/>
      <c r="G553" s="9"/>
      <c r="H553" s="9"/>
      <c r="I553" s="9"/>
      <c r="J553" s="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 customFormat="false" ht="15.75" hidden="false" customHeight="true" outlineLevel="0" collapsed="false">
      <c r="A554" s="2"/>
      <c r="B554" s="2"/>
      <c r="C554" s="2"/>
      <c r="D554" s="2"/>
      <c r="E554" s="9"/>
      <c r="F554" s="9"/>
      <c r="G554" s="9"/>
      <c r="H554" s="9"/>
      <c r="I554" s="9"/>
      <c r="J554" s="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 customFormat="false" ht="15.75" hidden="false" customHeight="true" outlineLevel="0" collapsed="false">
      <c r="A555" s="2"/>
      <c r="B555" s="2"/>
      <c r="C555" s="2"/>
      <c r="D555" s="2"/>
      <c r="E555" s="9"/>
      <c r="F555" s="9"/>
      <c r="G555" s="9"/>
      <c r="H555" s="9"/>
      <c r="I555" s="9"/>
      <c r="J555" s="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 customFormat="false" ht="15.75" hidden="false" customHeight="true" outlineLevel="0" collapsed="false">
      <c r="A556" s="2"/>
      <c r="B556" s="2"/>
      <c r="C556" s="2"/>
      <c r="D556" s="2"/>
      <c r="E556" s="9"/>
      <c r="F556" s="9"/>
      <c r="G556" s="9"/>
      <c r="H556" s="9"/>
      <c r="I556" s="9"/>
      <c r="J556" s="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 customFormat="false" ht="15.75" hidden="false" customHeight="true" outlineLevel="0" collapsed="false">
      <c r="A557" s="2"/>
      <c r="B557" s="2"/>
      <c r="C557" s="2"/>
      <c r="D557" s="2"/>
      <c r="E557" s="9"/>
      <c r="F557" s="9"/>
      <c r="G557" s="9"/>
      <c r="H557" s="9"/>
      <c r="I557" s="9"/>
      <c r="J557" s="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 customFormat="false" ht="15.75" hidden="false" customHeight="true" outlineLevel="0" collapsed="false">
      <c r="A558" s="2"/>
      <c r="B558" s="2"/>
      <c r="C558" s="2"/>
      <c r="D558" s="2"/>
      <c r="E558" s="9"/>
      <c r="F558" s="9"/>
      <c r="G558" s="9"/>
      <c r="H558" s="9"/>
      <c r="I558" s="9"/>
      <c r="J558" s="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 customFormat="false" ht="15.75" hidden="false" customHeight="true" outlineLevel="0" collapsed="false">
      <c r="A559" s="2"/>
      <c r="B559" s="2"/>
      <c r="C559" s="2"/>
      <c r="D559" s="2"/>
      <c r="E559" s="9"/>
      <c r="F559" s="9"/>
      <c r="G559" s="9"/>
      <c r="H559" s="9"/>
      <c r="I559" s="9"/>
      <c r="J559" s="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 customFormat="false" ht="15.75" hidden="false" customHeight="true" outlineLevel="0" collapsed="false">
      <c r="A560" s="2"/>
      <c r="B560" s="2"/>
      <c r="C560" s="2"/>
      <c r="D560" s="2"/>
      <c r="E560" s="9"/>
      <c r="F560" s="9"/>
      <c r="G560" s="9"/>
      <c r="H560" s="9"/>
      <c r="I560" s="9"/>
      <c r="J560" s="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 customFormat="false" ht="15.75" hidden="false" customHeight="true" outlineLevel="0" collapsed="false">
      <c r="A561" s="2"/>
      <c r="B561" s="2"/>
      <c r="C561" s="2"/>
      <c r="D561" s="2"/>
      <c r="E561" s="9"/>
      <c r="F561" s="9"/>
      <c r="G561" s="9"/>
      <c r="H561" s="9"/>
      <c r="I561" s="9"/>
      <c r="J561" s="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 customFormat="false" ht="15.75" hidden="false" customHeight="true" outlineLevel="0" collapsed="false">
      <c r="A562" s="2"/>
      <c r="B562" s="2"/>
      <c r="C562" s="2"/>
      <c r="D562" s="2"/>
      <c r="E562" s="9"/>
      <c r="F562" s="9"/>
      <c r="G562" s="9"/>
      <c r="H562" s="9"/>
      <c r="I562" s="9"/>
      <c r="J562" s="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 customFormat="false" ht="15.75" hidden="false" customHeight="true" outlineLevel="0" collapsed="false">
      <c r="A563" s="2"/>
      <c r="B563" s="2"/>
      <c r="C563" s="2"/>
      <c r="D563" s="2"/>
      <c r="E563" s="9"/>
      <c r="F563" s="9"/>
      <c r="G563" s="9"/>
      <c r="H563" s="9"/>
      <c r="I563" s="9"/>
      <c r="J563" s="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 customFormat="false" ht="15.75" hidden="false" customHeight="true" outlineLevel="0" collapsed="false">
      <c r="A564" s="2"/>
      <c r="B564" s="2"/>
      <c r="C564" s="2"/>
      <c r="D564" s="2"/>
      <c r="E564" s="9"/>
      <c r="F564" s="9"/>
      <c r="G564" s="9"/>
      <c r="H564" s="9"/>
      <c r="I564" s="9"/>
      <c r="J564" s="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 customFormat="false" ht="15.75" hidden="false" customHeight="true" outlineLevel="0" collapsed="false">
      <c r="A565" s="2"/>
      <c r="B565" s="2"/>
      <c r="C565" s="2"/>
      <c r="D565" s="2"/>
      <c r="E565" s="9"/>
      <c r="F565" s="9"/>
      <c r="G565" s="9"/>
      <c r="H565" s="9"/>
      <c r="I565" s="9"/>
      <c r="J565" s="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 customFormat="false" ht="15.75" hidden="false" customHeight="true" outlineLevel="0" collapsed="false">
      <c r="A566" s="2"/>
      <c r="B566" s="2"/>
      <c r="C566" s="2"/>
      <c r="D566" s="2"/>
      <c r="E566" s="9"/>
      <c r="F566" s="9"/>
      <c r="G566" s="9"/>
      <c r="H566" s="9"/>
      <c r="I566" s="9"/>
      <c r="J566" s="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 customFormat="false" ht="15.75" hidden="false" customHeight="true" outlineLevel="0" collapsed="false">
      <c r="A567" s="2"/>
      <c r="B567" s="2"/>
      <c r="C567" s="2"/>
      <c r="D567" s="2"/>
      <c r="E567" s="9"/>
      <c r="F567" s="9"/>
      <c r="G567" s="9"/>
      <c r="H567" s="9"/>
      <c r="I567" s="9"/>
      <c r="J567" s="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 customFormat="false" ht="15.75" hidden="false" customHeight="true" outlineLevel="0" collapsed="false">
      <c r="A568" s="2"/>
      <c r="B568" s="2"/>
      <c r="C568" s="2"/>
      <c r="D568" s="2"/>
      <c r="E568" s="9"/>
      <c r="F568" s="9"/>
      <c r="G568" s="9"/>
      <c r="H568" s="9"/>
      <c r="I568" s="9"/>
      <c r="J568" s="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 customFormat="false" ht="15.75" hidden="false" customHeight="true" outlineLevel="0" collapsed="false">
      <c r="A569" s="2"/>
      <c r="B569" s="2"/>
      <c r="C569" s="2"/>
      <c r="D569" s="2"/>
      <c r="E569" s="9"/>
      <c r="F569" s="9"/>
      <c r="G569" s="9"/>
      <c r="H569" s="9"/>
      <c r="I569" s="9"/>
      <c r="J569" s="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 customFormat="false" ht="15.75" hidden="false" customHeight="true" outlineLevel="0" collapsed="false">
      <c r="A570" s="2"/>
      <c r="B570" s="2"/>
      <c r="C570" s="2"/>
      <c r="D570" s="2"/>
      <c r="E570" s="9"/>
      <c r="F570" s="9"/>
      <c r="G570" s="9"/>
      <c r="H570" s="9"/>
      <c r="I570" s="9"/>
      <c r="J570" s="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 customFormat="false" ht="15.75" hidden="false" customHeight="true" outlineLevel="0" collapsed="false">
      <c r="A571" s="2"/>
      <c r="B571" s="2"/>
      <c r="C571" s="2"/>
      <c r="D571" s="2"/>
      <c r="E571" s="9"/>
      <c r="F571" s="9"/>
      <c r="G571" s="9"/>
      <c r="H571" s="9"/>
      <c r="I571" s="9"/>
      <c r="J571" s="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 customFormat="false" ht="15.75" hidden="false" customHeight="true" outlineLevel="0" collapsed="false">
      <c r="A572" s="2"/>
      <c r="B572" s="2"/>
      <c r="C572" s="2"/>
      <c r="D572" s="2"/>
      <c r="E572" s="9"/>
      <c r="F572" s="9"/>
      <c r="G572" s="9"/>
      <c r="H572" s="9"/>
      <c r="I572" s="9"/>
      <c r="J572" s="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 customFormat="false" ht="15.75" hidden="false" customHeight="true" outlineLevel="0" collapsed="false">
      <c r="A573" s="2"/>
      <c r="B573" s="2"/>
      <c r="C573" s="2"/>
      <c r="D573" s="2"/>
      <c r="E573" s="9"/>
      <c r="F573" s="9"/>
      <c r="G573" s="9"/>
      <c r="H573" s="9"/>
      <c r="I573" s="9"/>
      <c r="J573" s="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 customFormat="false" ht="15.75" hidden="false" customHeight="true" outlineLevel="0" collapsed="false">
      <c r="A574" s="2"/>
      <c r="B574" s="2"/>
      <c r="C574" s="2"/>
      <c r="D574" s="2"/>
      <c r="E574" s="9"/>
      <c r="F574" s="9"/>
      <c r="G574" s="9"/>
      <c r="H574" s="9"/>
      <c r="I574" s="9"/>
      <c r="J574" s="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</row>
    <row r="575" customFormat="false" ht="15.75" hidden="false" customHeight="true" outlineLevel="0" collapsed="false">
      <c r="A575" s="2"/>
      <c r="B575" s="2"/>
      <c r="C575" s="2"/>
      <c r="D575" s="2"/>
      <c r="E575" s="9"/>
      <c r="F575" s="9"/>
      <c r="G575" s="9"/>
      <c r="H575" s="9"/>
      <c r="I575" s="9"/>
      <c r="J575" s="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 customFormat="false" ht="15.75" hidden="false" customHeight="true" outlineLevel="0" collapsed="false">
      <c r="A576" s="2"/>
      <c r="B576" s="2"/>
      <c r="C576" s="2"/>
      <c r="D576" s="2"/>
      <c r="E576" s="9"/>
      <c r="F576" s="9"/>
      <c r="G576" s="9"/>
      <c r="H576" s="9"/>
      <c r="I576" s="9"/>
      <c r="J576" s="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 customFormat="false" ht="15.75" hidden="false" customHeight="true" outlineLevel="0" collapsed="false">
      <c r="A577" s="2"/>
      <c r="B577" s="2"/>
      <c r="C577" s="2"/>
      <c r="D577" s="2"/>
      <c r="E577" s="9"/>
      <c r="F577" s="9"/>
      <c r="G577" s="9"/>
      <c r="H577" s="9"/>
      <c r="I577" s="9"/>
      <c r="J577" s="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 customFormat="false" ht="15.75" hidden="false" customHeight="true" outlineLevel="0" collapsed="false">
      <c r="A578" s="2"/>
      <c r="B578" s="2"/>
      <c r="C578" s="2"/>
      <c r="D578" s="2"/>
      <c r="E578" s="9"/>
      <c r="F578" s="9"/>
      <c r="G578" s="9"/>
      <c r="H578" s="9"/>
      <c r="I578" s="9"/>
      <c r="J578" s="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 customFormat="false" ht="15.75" hidden="false" customHeight="true" outlineLevel="0" collapsed="false">
      <c r="A579" s="2"/>
      <c r="B579" s="2"/>
      <c r="C579" s="2"/>
      <c r="D579" s="2"/>
      <c r="E579" s="9"/>
      <c r="F579" s="9"/>
      <c r="G579" s="9"/>
      <c r="H579" s="9"/>
      <c r="I579" s="9"/>
      <c r="J579" s="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 customFormat="false" ht="15.75" hidden="false" customHeight="true" outlineLevel="0" collapsed="false">
      <c r="A580" s="2"/>
      <c r="B580" s="2"/>
      <c r="C580" s="2"/>
      <c r="D580" s="2"/>
      <c r="E580" s="9"/>
      <c r="F580" s="9"/>
      <c r="G580" s="9"/>
      <c r="H580" s="9"/>
      <c r="I580" s="9"/>
      <c r="J580" s="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 customFormat="false" ht="15.75" hidden="false" customHeight="true" outlineLevel="0" collapsed="false">
      <c r="A581" s="2"/>
      <c r="B581" s="2"/>
      <c r="C581" s="2"/>
      <c r="D581" s="2"/>
      <c r="E581" s="9"/>
      <c r="F581" s="9"/>
      <c r="G581" s="9"/>
      <c r="H581" s="9"/>
      <c r="I581" s="9"/>
      <c r="J581" s="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 customFormat="false" ht="15.75" hidden="false" customHeight="true" outlineLevel="0" collapsed="false">
      <c r="A582" s="2"/>
      <c r="B582" s="2"/>
      <c r="C582" s="2"/>
      <c r="D582" s="2"/>
      <c r="E582" s="9"/>
      <c r="F582" s="9"/>
      <c r="G582" s="9"/>
      <c r="H582" s="9"/>
      <c r="I582" s="9"/>
      <c r="J582" s="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 customFormat="false" ht="15.75" hidden="false" customHeight="true" outlineLevel="0" collapsed="false">
      <c r="A583" s="2"/>
      <c r="B583" s="2"/>
      <c r="C583" s="2"/>
      <c r="D583" s="2"/>
      <c r="E583" s="9"/>
      <c r="F583" s="9"/>
      <c r="G583" s="9"/>
      <c r="H583" s="9"/>
      <c r="I583" s="9"/>
      <c r="J583" s="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 customFormat="false" ht="15.75" hidden="false" customHeight="true" outlineLevel="0" collapsed="false">
      <c r="A584" s="2"/>
      <c r="B584" s="2"/>
      <c r="C584" s="2"/>
      <c r="D584" s="2"/>
      <c r="E584" s="9"/>
      <c r="F584" s="9"/>
      <c r="G584" s="9"/>
      <c r="H584" s="9"/>
      <c r="I584" s="9"/>
      <c r="J584" s="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 customFormat="false" ht="15.75" hidden="false" customHeight="true" outlineLevel="0" collapsed="false">
      <c r="A585" s="2"/>
      <c r="B585" s="2"/>
      <c r="C585" s="2"/>
      <c r="D585" s="2"/>
      <c r="E585" s="9"/>
      <c r="F585" s="9"/>
      <c r="G585" s="9"/>
      <c r="H585" s="9"/>
      <c r="I585" s="9"/>
      <c r="J585" s="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 customFormat="false" ht="15.75" hidden="false" customHeight="true" outlineLevel="0" collapsed="false">
      <c r="A586" s="2"/>
      <c r="B586" s="2"/>
      <c r="C586" s="2"/>
      <c r="D586" s="2"/>
      <c r="E586" s="9"/>
      <c r="F586" s="9"/>
      <c r="G586" s="9"/>
      <c r="H586" s="9"/>
      <c r="I586" s="9"/>
      <c r="J586" s="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 customFormat="false" ht="15.75" hidden="false" customHeight="true" outlineLevel="0" collapsed="false">
      <c r="A587" s="2"/>
      <c r="B587" s="2"/>
      <c r="C587" s="2"/>
      <c r="D587" s="2"/>
      <c r="E587" s="9"/>
      <c r="F587" s="9"/>
      <c r="G587" s="9"/>
      <c r="H587" s="9"/>
      <c r="I587" s="9"/>
      <c r="J587" s="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 customFormat="false" ht="15.75" hidden="false" customHeight="true" outlineLevel="0" collapsed="false">
      <c r="A588" s="2"/>
      <c r="B588" s="2"/>
      <c r="C588" s="2"/>
      <c r="D588" s="2"/>
      <c r="E588" s="9"/>
      <c r="F588" s="9"/>
      <c r="G588" s="9"/>
      <c r="H588" s="9"/>
      <c r="I588" s="9"/>
      <c r="J588" s="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 customFormat="false" ht="15.75" hidden="false" customHeight="true" outlineLevel="0" collapsed="false">
      <c r="A589" s="2"/>
      <c r="B589" s="2"/>
      <c r="C589" s="2"/>
      <c r="D589" s="2"/>
      <c r="E589" s="9"/>
      <c r="F589" s="9"/>
      <c r="G589" s="9"/>
      <c r="H589" s="9"/>
      <c r="I589" s="9"/>
      <c r="J589" s="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 customFormat="false" ht="15.75" hidden="false" customHeight="true" outlineLevel="0" collapsed="false">
      <c r="A590" s="2"/>
      <c r="B590" s="2"/>
      <c r="C590" s="2"/>
      <c r="D590" s="2"/>
      <c r="E590" s="9"/>
      <c r="F590" s="9"/>
      <c r="G590" s="9"/>
      <c r="H590" s="9"/>
      <c r="I590" s="9"/>
      <c r="J590" s="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 customFormat="false" ht="15.75" hidden="false" customHeight="true" outlineLevel="0" collapsed="false">
      <c r="A591" s="2"/>
      <c r="B591" s="2"/>
      <c r="C591" s="2"/>
      <c r="D591" s="2"/>
      <c r="E591" s="9"/>
      <c r="F591" s="9"/>
      <c r="G591" s="9"/>
      <c r="H591" s="9"/>
      <c r="I591" s="9"/>
      <c r="J591" s="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 customFormat="false" ht="15.75" hidden="false" customHeight="true" outlineLevel="0" collapsed="false">
      <c r="A592" s="2"/>
      <c r="B592" s="2"/>
      <c r="C592" s="2"/>
      <c r="D592" s="2"/>
      <c r="E592" s="9"/>
      <c r="F592" s="9"/>
      <c r="G592" s="9"/>
      <c r="H592" s="9"/>
      <c r="I592" s="9"/>
      <c r="J592" s="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 customFormat="false" ht="15.75" hidden="false" customHeight="true" outlineLevel="0" collapsed="false">
      <c r="A593" s="2"/>
      <c r="B593" s="2"/>
      <c r="C593" s="2"/>
      <c r="D593" s="2"/>
      <c r="E593" s="9"/>
      <c r="F593" s="9"/>
      <c r="G593" s="9"/>
      <c r="H593" s="9"/>
      <c r="I593" s="9"/>
      <c r="J593" s="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 customFormat="false" ht="15.75" hidden="false" customHeight="true" outlineLevel="0" collapsed="false">
      <c r="A594" s="2"/>
      <c r="B594" s="2"/>
      <c r="C594" s="2"/>
      <c r="D594" s="2"/>
      <c r="E594" s="9"/>
      <c r="F594" s="9"/>
      <c r="G594" s="9"/>
      <c r="H594" s="9"/>
      <c r="I594" s="9"/>
      <c r="J594" s="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 customFormat="false" ht="15.75" hidden="false" customHeight="true" outlineLevel="0" collapsed="false">
      <c r="A595" s="2"/>
      <c r="B595" s="2"/>
      <c r="C595" s="2"/>
      <c r="D595" s="2"/>
      <c r="E595" s="9"/>
      <c r="F595" s="9"/>
      <c r="G595" s="9"/>
      <c r="H595" s="9"/>
      <c r="I595" s="9"/>
      <c r="J595" s="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 customFormat="false" ht="15.75" hidden="false" customHeight="true" outlineLevel="0" collapsed="false">
      <c r="A596" s="2"/>
      <c r="B596" s="2"/>
      <c r="C596" s="2"/>
      <c r="D596" s="2"/>
      <c r="E596" s="9"/>
      <c r="F596" s="9"/>
      <c r="G596" s="9"/>
      <c r="H596" s="9"/>
      <c r="I596" s="9"/>
      <c r="J596" s="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 customFormat="false" ht="15.75" hidden="false" customHeight="true" outlineLevel="0" collapsed="false">
      <c r="A597" s="2"/>
      <c r="B597" s="2"/>
      <c r="C597" s="2"/>
      <c r="D597" s="2"/>
      <c r="E597" s="9"/>
      <c r="F597" s="9"/>
      <c r="G597" s="9"/>
      <c r="H597" s="9"/>
      <c r="I597" s="9"/>
      <c r="J597" s="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 customFormat="false" ht="15.75" hidden="false" customHeight="true" outlineLevel="0" collapsed="false">
      <c r="A598" s="2"/>
      <c r="B598" s="2"/>
      <c r="C598" s="2"/>
      <c r="D598" s="2"/>
      <c r="E598" s="9"/>
      <c r="F598" s="9"/>
      <c r="G598" s="9"/>
      <c r="H598" s="9"/>
      <c r="I598" s="9"/>
      <c r="J598" s="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 customFormat="false" ht="15.75" hidden="false" customHeight="true" outlineLevel="0" collapsed="false">
      <c r="A599" s="2"/>
      <c r="B599" s="2"/>
      <c r="C599" s="2"/>
      <c r="D599" s="2"/>
      <c r="E599" s="9"/>
      <c r="F599" s="9"/>
      <c r="G599" s="9"/>
      <c r="H599" s="9"/>
      <c r="I599" s="9"/>
      <c r="J599" s="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 customFormat="false" ht="15.75" hidden="false" customHeight="true" outlineLevel="0" collapsed="false">
      <c r="A600" s="2"/>
      <c r="B600" s="2"/>
      <c r="C600" s="2"/>
      <c r="D600" s="2"/>
      <c r="E600" s="9"/>
      <c r="F600" s="9"/>
      <c r="G600" s="9"/>
      <c r="H600" s="9"/>
      <c r="I600" s="9"/>
      <c r="J600" s="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 customFormat="false" ht="15.75" hidden="false" customHeight="true" outlineLevel="0" collapsed="false">
      <c r="A601" s="2"/>
      <c r="B601" s="2"/>
      <c r="C601" s="2"/>
      <c r="D601" s="2"/>
      <c r="E601" s="9"/>
      <c r="F601" s="9"/>
      <c r="G601" s="9"/>
      <c r="H601" s="9"/>
      <c r="I601" s="9"/>
      <c r="J601" s="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 customFormat="false" ht="15.75" hidden="false" customHeight="true" outlineLevel="0" collapsed="false">
      <c r="A602" s="2"/>
      <c r="B602" s="2"/>
      <c r="C602" s="2"/>
      <c r="D602" s="2"/>
      <c r="E602" s="9"/>
      <c r="F602" s="9"/>
      <c r="G602" s="9"/>
      <c r="H602" s="9"/>
      <c r="I602" s="9"/>
      <c r="J602" s="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 customFormat="false" ht="15.75" hidden="false" customHeight="true" outlineLevel="0" collapsed="false">
      <c r="A603" s="2"/>
      <c r="B603" s="2"/>
      <c r="C603" s="2"/>
      <c r="D603" s="2"/>
      <c r="E603" s="9"/>
      <c r="F603" s="9"/>
      <c r="G603" s="9"/>
      <c r="H603" s="9"/>
      <c r="I603" s="9"/>
      <c r="J603" s="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 customFormat="false" ht="15.75" hidden="false" customHeight="true" outlineLevel="0" collapsed="false">
      <c r="A604" s="2"/>
      <c r="B604" s="2"/>
      <c r="C604" s="2"/>
      <c r="D604" s="2"/>
      <c r="E604" s="9"/>
      <c r="F604" s="9"/>
      <c r="G604" s="9"/>
      <c r="H604" s="9"/>
      <c r="I604" s="9"/>
      <c r="J604" s="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 customFormat="false" ht="15.75" hidden="false" customHeight="true" outlineLevel="0" collapsed="false">
      <c r="A605" s="2"/>
      <c r="B605" s="2"/>
      <c r="C605" s="2"/>
      <c r="D605" s="2"/>
      <c r="E605" s="9"/>
      <c r="F605" s="9"/>
      <c r="G605" s="9"/>
      <c r="H605" s="9"/>
      <c r="I605" s="9"/>
      <c r="J605" s="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 customFormat="false" ht="15.75" hidden="false" customHeight="true" outlineLevel="0" collapsed="false">
      <c r="A606" s="2"/>
      <c r="B606" s="2"/>
      <c r="C606" s="2"/>
      <c r="D606" s="2"/>
      <c r="E606" s="9"/>
      <c r="F606" s="9"/>
      <c r="G606" s="9"/>
      <c r="H606" s="9"/>
      <c r="I606" s="9"/>
      <c r="J606" s="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 customFormat="false" ht="15.75" hidden="false" customHeight="true" outlineLevel="0" collapsed="false">
      <c r="A607" s="2"/>
      <c r="B607" s="2"/>
      <c r="C607" s="2"/>
      <c r="D607" s="2"/>
      <c r="E607" s="9"/>
      <c r="F607" s="9"/>
      <c r="G607" s="9"/>
      <c r="H607" s="9"/>
      <c r="I607" s="9"/>
      <c r="J607" s="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 customFormat="false" ht="15.75" hidden="false" customHeight="true" outlineLevel="0" collapsed="false">
      <c r="A608" s="2"/>
      <c r="B608" s="2"/>
      <c r="C608" s="2"/>
      <c r="D608" s="2"/>
      <c r="E608" s="9"/>
      <c r="F608" s="9"/>
      <c r="G608" s="9"/>
      <c r="H608" s="9"/>
      <c r="I608" s="9"/>
      <c r="J608" s="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 customFormat="false" ht="15.75" hidden="false" customHeight="true" outlineLevel="0" collapsed="false">
      <c r="A609" s="2"/>
      <c r="B609" s="2"/>
      <c r="C609" s="2"/>
      <c r="D609" s="2"/>
      <c r="E609" s="9"/>
      <c r="F609" s="9"/>
      <c r="G609" s="9"/>
      <c r="H609" s="9"/>
      <c r="I609" s="9"/>
      <c r="J609" s="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 customFormat="false" ht="15.75" hidden="false" customHeight="true" outlineLevel="0" collapsed="false">
      <c r="A610" s="2"/>
      <c r="B610" s="2"/>
      <c r="C610" s="2"/>
      <c r="D610" s="2"/>
      <c r="E610" s="9"/>
      <c r="F610" s="9"/>
      <c r="G610" s="9"/>
      <c r="H610" s="9"/>
      <c r="I610" s="9"/>
      <c r="J610" s="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</row>
    <row r="611" customFormat="false" ht="15.75" hidden="false" customHeight="true" outlineLevel="0" collapsed="false">
      <c r="A611" s="2"/>
      <c r="B611" s="2"/>
      <c r="C611" s="2"/>
      <c r="D611" s="2"/>
      <c r="E611" s="9"/>
      <c r="F611" s="9"/>
      <c r="G611" s="9"/>
      <c r="H611" s="9"/>
      <c r="I611" s="9"/>
      <c r="J611" s="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 customFormat="false" ht="15.75" hidden="false" customHeight="true" outlineLevel="0" collapsed="false">
      <c r="A612" s="2"/>
      <c r="B612" s="2"/>
      <c r="C612" s="2"/>
      <c r="D612" s="2"/>
      <c r="E612" s="9"/>
      <c r="F612" s="9"/>
      <c r="G612" s="9"/>
      <c r="H612" s="9"/>
      <c r="I612" s="9"/>
      <c r="J612" s="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 customFormat="false" ht="15.75" hidden="false" customHeight="true" outlineLevel="0" collapsed="false">
      <c r="A613" s="2"/>
      <c r="B613" s="2"/>
      <c r="C613" s="2"/>
      <c r="D613" s="2"/>
      <c r="E613" s="9"/>
      <c r="F613" s="9"/>
      <c r="G613" s="9"/>
      <c r="H613" s="9"/>
      <c r="I613" s="9"/>
      <c r="J613" s="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 customFormat="false" ht="15.75" hidden="false" customHeight="true" outlineLevel="0" collapsed="false">
      <c r="A614" s="2"/>
      <c r="B614" s="2"/>
      <c r="C614" s="2"/>
      <c r="D614" s="2"/>
      <c r="E614" s="9"/>
      <c r="F614" s="9"/>
      <c r="G614" s="9"/>
      <c r="H614" s="9"/>
      <c r="I614" s="9"/>
      <c r="J614" s="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 customFormat="false" ht="15.75" hidden="false" customHeight="true" outlineLevel="0" collapsed="false">
      <c r="A615" s="2"/>
      <c r="B615" s="2"/>
      <c r="C615" s="2"/>
      <c r="D615" s="2"/>
      <c r="E615" s="9"/>
      <c r="F615" s="9"/>
      <c r="G615" s="9"/>
      <c r="H615" s="9"/>
      <c r="I615" s="9"/>
      <c r="J615" s="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 customFormat="false" ht="15.75" hidden="false" customHeight="true" outlineLevel="0" collapsed="false">
      <c r="A616" s="2"/>
      <c r="B616" s="2"/>
      <c r="C616" s="2"/>
      <c r="D616" s="2"/>
      <c r="E616" s="9"/>
      <c r="F616" s="9"/>
      <c r="G616" s="9"/>
      <c r="H616" s="9"/>
      <c r="I616" s="9"/>
      <c r="J616" s="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 customFormat="false" ht="15.75" hidden="false" customHeight="true" outlineLevel="0" collapsed="false">
      <c r="A617" s="2"/>
      <c r="B617" s="2"/>
      <c r="C617" s="2"/>
      <c r="D617" s="2"/>
      <c r="E617" s="9"/>
      <c r="F617" s="9"/>
      <c r="G617" s="9"/>
      <c r="H617" s="9"/>
      <c r="I617" s="9"/>
      <c r="J617" s="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 customFormat="false" ht="15.75" hidden="false" customHeight="true" outlineLevel="0" collapsed="false">
      <c r="A618" s="2"/>
      <c r="B618" s="2"/>
      <c r="C618" s="2"/>
      <c r="D618" s="2"/>
      <c r="E618" s="9"/>
      <c r="F618" s="9"/>
      <c r="G618" s="9"/>
      <c r="H618" s="9"/>
      <c r="I618" s="9"/>
      <c r="J618" s="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 customFormat="false" ht="15.75" hidden="false" customHeight="true" outlineLevel="0" collapsed="false">
      <c r="A619" s="2"/>
      <c r="B619" s="2"/>
      <c r="C619" s="2"/>
      <c r="D619" s="2"/>
      <c r="E619" s="9"/>
      <c r="F619" s="9"/>
      <c r="G619" s="9"/>
      <c r="H619" s="9"/>
      <c r="I619" s="9"/>
      <c r="J619" s="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 customFormat="false" ht="15.75" hidden="false" customHeight="true" outlineLevel="0" collapsed="false">
      <c r="A620" s="2"/>
      <c r="B620" s="2"/>
      <c r="C620" s="2"/>
      <c r="D620" s="2"/>
      <c r="E620" s="9"/>
      <c r="F620" s="9"/>
      <c r="G620" s="9"/>
      <c r="H620" s="9"/>
      <c r="I620" s="9"/>
      <c r="J620" s="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 customFormat="false" ht="15.75" hidden="false" customHeight="true" outlineLevel="0" collapsed="false">
      <c r="A621" s="2"/>
      <c r="B621" s="2"/>
      <c r="C621" s="2"/>
      <c r="D621" s="2"/>
      <c r="E621" s="9"/>
      <c r="F621" s="9"/>
      <c r="G621" s="9"/>
      <c r="H621" s="9"/>
      <c r="I621" s="9"/>
      <c r="J621" s="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 customFormat="false" ht="15.75" hidden="false" customHeight="true" outlineLevel="0" collapsed="false">
      <c r="A622" s="2"/>
      <c r="B622" s="2"/>
      <c r="C622" s="2"/>
      <c r="D622" s="2"/>
      <c r="E622" s="9"/>
      <c r="F622" s="9"/>
      <c r="G622" s="9"/>
      <c r="H622" s="9"/>
      <c r="I622" s="9"/>
      <c r="J622" s="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 customFormat="false" ht="15.75" hidden="false" customHeight="true" outlineLevel="0" collapsed="false">
      <c r="A623" s="2"/>
      <c r="B623" s="2"/>
      <c r="C623" s="2"/>
      <c r="D623" s="2"/>
      <c r="E623" s="9"/>
      <c r="F623" s="9"/>
      <c r="G623" s="9"/>
      <c r="H623" s="9"/>
      <c r="I623" s="9"/>
      <c r="J623" s="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 customFormat="false" ht="15.75" hidden="false" customHeight="true" outlineLevel="0" collapsed="false">
      <c r="A624" s="2"/>
      <c r="B624" s="2"/>
      <c r="C624" s="2"/>
      <c r="D624" s="2"/>
      <c r="E624" s="9"/>
      <c r="F624" s="9"/>
      <c r="G624" s="9"/>
      <c r="H624" s="9"/>
      <c r="I624" s="9"/>
      <c r="J624" s="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 customFormat="false" ht="15.75" hidden="false" customHeight="true" outlineLevel="0" collapsed="false">
      <c r="A625" s="2"/>
      <c r="B625" s="2"/>
      <c r="C625" s="2"/>
      <c r="D625" s="2"/>
      <c r="E625" s="9"/>
      <c r="F625" s="9"/>
      <c r="G625" s="9"/>
      <c r="H625" s="9"/>
      <c r="I625" s="9"/>
      <c r="J625" s="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 customFormat="false" ht="15.75" hidden="false" customHeight="true" outlineLevel="0" collapsed="false">
      <c r="A626" s="2"/>
      <c r="B626" s="2"/>
      <c r="C626" s="2"/>
      <c r="D626" s="2"/>
      <c r="E626" s="9"/>
      <c r="F626" s="9"/>
      <c r="G626" s="9"/>
      <c r="H626" s="9"/>
      <c r="I626" s="9"/>
      <c r="J626" s="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 customFormat="false" ht="15.75" hidden="false" customHeight="true" outlineLevel="0" collapsed="false">
      <c r="A627" s="2"/>
      <c r="B627" s="2"/>
      <c r="C627" s="2"/>
      <c r="D627" s="2"/>
      <c r="E627" s="9"/>
      <c r="F627" s="9"/>
      <c r="G627" s="9"/>
      <c r="H627" s="9"/>
      <c r="I627" s="9"/>
      <c r="J627" s="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 customFormat="false" ht="15.75" hidden="false" customHeight="true" outlineLevel="0" collapsed="false">
      <c r="A628" s="2"/>
      <c r="B628" s="2"/>
      <c r="C628" s="2"/>
      <c r="D628" s="2"/>
      <c r="E628" s="9"/>
      <c r="F628" s="9"/>
      <c r="G628" s="9"/>
      <c r="H628" s="9"/>
      <c r="I628" s="9"/>
      <c r="J628" s="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 customFormat="false" ht="15.75" hidden="false" customHeight="true" outlineLevel="0" collapsed="false">
      <c r="A629" s="2"/>
      <c r="B629" s="2"/>
      <c r="C629" s="2"/>
      <c r="D629" s="2"/>
      <c r="E629" s="9"/>
      <c r="F629" s="9"/>
      <c r="G629" s="9"/>
      <c r="H629" s="9"/>
      <c r="I629" s="9"/>
      <c r="J629" s="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 customFormat="false" ht="15.75" hidden="false" customHeight="true" outlineLevel="0" collapsed="false">
      <c r="A630" s="2"/>
      <c r="B630" s="2"/>
      <c r="C630" s="2"/>
      <c r="D630" s="2"/>
      <c r="E630" s="9"/>
      <c r="F630" s="9"/>
      <c r="G630" s="9"/>
      <c r="H630" s="9"/>
      <c r="I630" s="9"/>
      <c r="J630" s="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 customFormat="false" ht="15.75" hidden="false" customHeight="true" outlineLevel="0" collapsed="false">
      <c r="A631" s="2"/>
      <c r="B631" s="2"/>
      <c r="C631" s="2"/>
      <c r="D631" s="2"/>
      <c r="E631" s="9"/>
      <c r="F631" s="9"/>
      <c r="G631" s="9"/>
      <c r="H631" s="9"/>
      <c r="I631" s="9"/>
      <c r="J631" s="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 customFormat="false" ht="15.75" hidden="false" customHeight="true" outlineLevel="0" collapsed="false">
      <c r="A632" s="2"/>
      <c r="B632" s="2"/>
      <c r="C632" s="2"/>
      <c r="D632" s="2"/>
      <c r="E632" s="9"/>
      <c r="F632" s="9"/>
      <c r="G632" s="9"/>
      <c r="H632" s="9"/>
      <c r="I632" s="9"/>
      <c r="J632" s="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 customFormat="false" ht="15.75" hidden="false" customHeight="true" outlineLevel="0" collapsed="false">
      <c r="A633" s="2"/>
      <c r="B633" s="2"/>
      <c r="C633" s="2"/>
      <c r="D633" s="2"/>
      <c r="E633" s="9"/>
      <c r="F633" s="9"/>
      <c r="G633" s="9"/>
      <c r="H633" s="9"/>
      <c r="I633" s="9"/>
      <c r="J633" s="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 customFormat="false" ht="15.75" hidden="false" customHeight="true" outlineLevel="0" collapsed="false">
      <c r="A634" s="2"/>
      <c r="B634" s="2"/>
      <c r="C634" s="2"/>
      <c r="D634" s="2"/>
      <c r="E634" s="9"/>
      <c r="F634" s="9"/>
      <c r="G634" s="9"/>
      <c r="H634" s="9"/>
      <c r="I634" s="9"/>
      <c r="J634" s="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 customFormat="false" ht="15.75" hidden="false" customHeight="true" outlineLevel="0" collapsed="false">
      <c r="A635" s="2"/>
      <c r="B635" s="2"/>
      <c r="C635" s="2"/>
      <c r="D635" s="2"/>
      <c r="E635" s="9"/>
      <c r="F635" s="9"/>
      <c r="G635" s="9"/>
      <c r="H635" s="9"/>
      <c r="I635" s="9"/>
      <c r="J635" s="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 customFormat="false" ht="15.75" hidden="false" customHeight="true" outlineLevel="0" collapsed="false">
      <c r="A636" s="2"/>
      <c r="B636" s="2"/>
      <c r="C636" s="2"/>
      <c r="D636" s="2"/>
      <c r="E636" s="9"/>
      <c r="F636" s="9"/>
      <c r="G636" s="9"/>
      <c r="H636" s="9"/>
      <c r="I636" s="9"/>
      <c r="J636" s="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 customFormat="false" ht="15.75" hidden="false" customHeight="true" outlineLevel="0" collapsed="false">
      <c r="A637" s="2"/>
      <c r="B637" s="2"/>
      <c r="C637" s="2"/>
      <c r="D637" s="2"/>
      <c r="E637" s="9"/>
      <c r="F637" s="9"/>
      <c r="G637" s="9"/>
      <c r="H637" s="9"/>
      <c r="I637" s="9"/>
      <c r="J637" s="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 customFormat="false" ht="15.75" hidden="false" customHeight="true" outlineLevel="0" collapsed="false">
      <c r="A638" s="2"/>
      <c r="B638" s="2"/>
      <c r="C638" s="2"/>
      <c r="D638" s="2"/>
      <c r="E638" s="9"/>
      <c r="F638" s="9"/>
      <c r="G638" s="9"/>
      <c r="H638" s="9"/>
      <c r="I638" s="9"/>
      <c r="J638" s="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 customFormat="false" ht="15.75" hidden="false" customHeight="true" outlineLevel="0" collapsed="false">
      <c r="A639" s="2"/>
      <c r="B639" s="2"/>
      <c r="C639" s="2"/>
      <c r="D639" s="2"/>
      <c r="E639" s="9"/>
      <c r="F639" s="9"/>
      <c r="G639" s="9"/>
      <c r="H639" s="9"/>
      <c r="I639" s="9"/>
      <c r="J639" s="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 customFormat="false" ht="15.75" hidden="false" customHeight="true" outlineLevel="0" collapsed="false">
      <c r="A640" s="2"/>
      <c r="B640" s="2"/>
      <c r="C640" s="2"/>
      <c r="D640" s="2"/>
      <c r="E640" s="9"/>
      <c r="F640" s="9"/>
      <c r="G640" s="9"/>
      <c r="H640" s="9"/>
      <c r="I640" s="9"/>
      <c r="J640" s="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 customFormat="false" ht="15.75" hidden="false" customHeight="true" outlineLevel="0" collapsed="false">
      <c r="A641" s="2"/>
      <c r="B641" s="2"/>
      <c r="C641" s="2"/>
      <c r="D641" s="2"/>
      <c r="E641" s="9"/>
      <c r="F641" s="9"/>
      <c r="G641" s="9"/>
      <c r="H641" s="9"/>
      <c r="I641" s="9"/>
      <c r="J641" s="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 customFormat="false" ht="15.75" hidden="false" customHeight="true" outlineLevel="0" collapsed="false">
      <c r="A642" s="2"/>
      <c r="B642" s="2"/>
      <c r="C642" s="2"/>
      <c r="D642" s="2"/>
      <c r="E642" s="9"/>
      <c r="F642" s="9"/>
      <c r="G642" s="9"/>
      <c r="H642" s="9"/>
      <c r="I642" s="9"/>
      <c r="J642" s="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 customFormat="false" ht="15.75" hidden="false" customHeight="true" outlineLevel="0" collapsed="false">
      <c r="A643" s="2"/>
      <c r="B643" s="2"/>
      <c r="C643" s="2"/>
      <c r="D643" s="2"/>
      <c r="E643" s="9"/>
      <c r="F643" s="9"/>
      <c r="G643" s="9"/>
      <c r="H643" s="9"/>
      <c r="I643" s="9"/>
      <c r="J643" s="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 customFormat="false" ht="15.75" hidden="false" customHeight="true" outlineLevel="0" collapsed="false">
      <c r="A644" s="2"/>
      <c r="B644" s="2"/>
      <c r="C644" s="2"/>
      <c r="D644" s="2"/>
      <c r="E644" s="9"/>
      <c r="F644" s="9"/>
      <c r="G644" s="9"/>
      <c r="H644" s="9"/>
      <c r="I644" s="9"/>
      <c r="J644" s="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 customFormat="false" ht="15.75" hidden="false" customHeight="true" outlineLevel="0" collapsed="false">
      <c r="A645" s="2"/>
      <c r="B645" s="2"/>
      <c r="C645" s="2"/>
      <c r="D645" s="2"/>
      <c r="E645" s="9"/>
      <c r="F645" s="9"/>
      <c r="G645" s="9"/>
      <c r="H645" s="9"/>
      <c r="I645" s="9"/>
      <c r="J645" s="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 customFormat="false" ht="15.75" hidden="false" customHeight="true" outlineLevel="0" collapsed="false">
      <c r="A646" s="2"/>
      <c r="B646" s="2"/>
      <c r="C646" s="2"/>
      <c r="D646" s="2"/>
      <c r="E646" s="9"/>
      <c r="F646" s="9"/>
      <c r="G646" s="9"/>
      <c r="H646" s="9"/>
      <c r="I646" s="9"/>
      <c r="J646" s="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</row>
    <row r="647" customFormat="false" ht="15.75" hidden="false" customHeight="true" outlineLevel="0" collapsed="false">
      <c r="A647" s="2"/>
      <c r="B647" s="2"/>
      <c r="C647" s="2"/>
      <c r="D647" s="2"/>
      <c r="E647" s="9"/>
      <c r="F647" s="9"/>
      <c r="G647" s="9"/>
      <c r="H647" s="9"/>
      <c r="I647" s="9"/>
      <c r="J647" s="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 customFormat="false" ht="15.75" hidden="false" customHeight="true" outlineLevel="0" collapsed="false">
      <c r="A648" s="2"/>
      <c r="B648" s="2"/>
      <c r="C648" s="2"/>
      <c r="D648" s="2"/>
      <c r="E648" s="9"/>
      <c r="F648" s="9"/>
      <c r="G648" s="9"/>
      <c r="H648" s="9"/>
      <c r="I648" s="9"/>
      <c r="J648" s="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 customFormat="false" ht="15.75" hidden="false" customHeight="true" outlineLevel="0" collapsed="false">
      <c r="A649" s="2"/>
      <c r="B649" s="2"/>
      <c r="C649" s="2"/>
      <c r="D649" s="2"/>
      <c r="E649" s="9"/>
      <c r="F649" s="9"/>
      <c r="G649" s="9"/>
      <c r="H649" s="9"/>
      <c r="I649" s="9"/>
      <c r="J649" s="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 customFormat="false" ht="15.75" hidden="false" customHeight="true" outlineLevel="0" collapsed="false">
      <c r="A650" s="2"/>
      <c r="B650" s="2"/>
      <c r="C650" s="2"/>
      <c r="D650" s="2"/>
      <c r="E650" s="9"/>
      <c r="F650" s="9"/>
      <c r="G650" s="9"/>
      <c r="H650" s="9"/>
      <c r="I650" s="9"/>
      <c r="J650" s="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 customFormat="false" ht="15.75" hidden="false" customHeight="true" outlineLevel="0" collapsed="false">
      <c r="A651" s="2"/>
      <c r="B651" s="2"/>
      <c r="C651" s="2"/>
      <c r="D651" s="2"/>
      <c r="E651" s="9"/>
      <c r="F651" s="9"/>
      <c r="G651" s="9"/>
      <c r="H651" s="9"/>
      <c r="I651" s="9"/>
      <c r="J651" s="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 customFormat="false" ht="15.75" hidden="false" customHeight="true" outlineLevel="0" collapsed="false">
      <c r="A652" s="2"/>
      <c r="B652" s="2"/>
      <c r="C652" s="2"/>
      <c r="D652" s="2"/>
      <c r="E652" s="9"/>
      <c r="F652" s="9"/>
      <c r="G652" s="9"/>
      <c r="H652" s="9"/>
      <c r="I652" s="9"/>
      <c r="J652" s="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 customFormat="false" ht="15.75" hidden="false" customHeight="true" outlineLevel="0" collapsed="false">
      <c r="A653" s="2"/>
      <c r="B653" s="2"/>
      <c r="C653" s="2"/>
      <c r="D653" s="2"/>
      <c r="E653" s="9"/>
      <c r="F653" s="9"/>
      <c r="G653" s="9"/>
      <c r="H653" s="9"/>
      <c r="I653" s="9"/>
      <c r="J653" s="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 customFormat="false" ht="15.75" hidden="false" customHeight="true" outlineLevel="0" collapsed="false">
      <c r="A654" s="2"/>
      <c r="B654" s="2"/>
      <c r="C654" s="2"/>
      <c r="D654" s="2"/>
      <c r="E654" s="9"/>
      <c r="F654" s="9"/>
      <c r="G654" s="9"/>
      <c r="H654" s="9"/>
      <c r="I654" s="9"/>
      <c r="J654" s="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 customFormat="false" ht="15.75" hidden="false" customHeight="true" outlineLevel="0" collapsed="false">
      <c r="A655" s="2"/>
      <c r="B655" s="2"/>
      <c r="C655" s="2"/>
      <c r="D655" s="2"/>
      <c r="E655" s="9"/>
      <c r="F655" s="9"/>
      <c r="G655" s="9"/>
      <c r="H655" s="9"/>
      <c r="I655" s="9"/>
      <c r="J655" s="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 customFormat="false" ht="15.75" hidden="false" customHeight="true" outlineLevel="0" collapsed="false">
      <c r="A656" s="2"/>
      <c r="B656" s="2"/>
      <c r="C656" s="2"/>
      <c r="D656" s="2"/>
      <c r="E656" s="9"/>
      <c r="F656" s="9"/>
      <c r="G656" s="9"/>
      <c r="H656" s="9"/>
      <c r="I656" s="9"/>
      <c r="J656" s="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 customFormat="false" ht="15.75" hidden="false" customHeight="true" outlineLevel="0" collapsed="false">
      <c r="A657" s="2"/>
      <c r="B657" s="2"/>
      <c r="C657" s="2"/>
      <c r="D657" s="2"/>
      <c r="E657" s="9"/>
      <c r="F657" s="9"/>
      <c r="G657" s="9"/>
      <c r="H657" s="9"/>
      <c r="I657" s="9"/>
      <c r="J657" s="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 customFormat="false" ht="15.75" hidden="false" customHeight="true" outlineLevel="0" collapsed="false">
      <c r="A658" s="2"/>
      <c r="B658" s="2"/>
      <c r="C658" s="2"/>
      <c r="D658" s="2"/>
      <c r="E658" s="9"/>
      <c r="F658" s="9"/>
      <c r="G658" s="9"/>
      <c r="H658" s="9"/>
      <c r="I658" s="9"/>
      <c r="J658" s="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 customFormat="false" ht="15.75" hidden="false" customHeight="true" outlineLevel="0" collapsed="false">
      <c r="A659" s="2"/>
      <c r="B659" s="2"/>
      <c r="C659" s="2"/>
      <c r="D659" s="2"/>
      <c r="E659" s="9"/>
      <c r="F659" s="9"/>
      <c r="G659" s="9"/>
      <c r="H659" s="9"/>
      <c r="I659" s="9"/>
      <c r="J659" s="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 customFormat="false" ht="15.75" hidden="false" customHeight="true" outlineLevel="0" collapsed="false">
      <c r="A660" s="2"/>
      <c r="B660" s="2"/>
      <c r="C660" s="2"/>
      <c r="D660" s="2"/>
      <c r="E660" s="9"/>
      <c r="F660" s="9"/>
      <c r="G660" s="9"/>
      <c r="H660" s="9"/>
      <c r="I660" s="9"/>
      <c r="J660" s="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 customFormat="false" ht="15.75" hidden="false" customHeight="true" outlineLevel="0" collapsed="false">
      <c r="A661" s="2"/>
      <c r="B661" s="2"/>
      <c r="C661" s="2"/>
      <c r="D661" s="2"/>
      <c r="E661" s="9"/>
      <c r="F661" s="9"/>
      <c r="G661" s="9"/>
      <c r="H661" s="9"/>
      <c r="I661" s="9"/>
      <c r="J661" s="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 customFormat="false" ht="15.75" hidden="false" customHeight="true" outlineLevel="0" collapsed="false">
      <c r="A662" s="2"/>
      <c r="B662" s="2"/>
      <c r="C662" s="2"/>
      <c r="D662" s="2"/>
      <c r="E662" s="9"/>
      <c r="F662" s="9"/>
      <c r="G662" s="9"/>
      <c r="H662" s="9"/>
      <c r="I662" s="9"/>
      <c r="J662" s="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 customFormat="false" ht="15.75" hidden="false" customHeight="true" outlineLevel="0" collapsed="false">
      <c r="A663" s="2"/>
      <c r="B663" s="2"/>
      <c r="C663" s="2"/>
      <c r="D663" s="2"/>
      <c r="E663" s="9"/>
      <c r="F663" s="9"/>
      <c r="G663" s="9"/>
      <c r="H663" s="9"/>
      <c r="I663" s="9"/>
      <c r="J663" s="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 customFormat="false" ht="15.75" hidden="false" customHeight="true" outlineLevel="0" collapsed="false">
      <c r="A664" s="2"/>
      <c r="B664" s="2"/>
      <c r="C664" s="2"/>
      <c r="D664" s="2"/>
      <c r="E664" s="9"/>
      <c r="F664" s="9"/>
      <c r="G664" s="9"/>
      <c r="H664" s="9"/>
      <c r="I664" s="9"/>
      <c r="J664" s="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 customFormat="false" ht="15.75" hidden="false" customHeight="true" outlineLevel="0" collapsed="false">
      <c r="A665" s="2"/>
      <c r="B665" s="2"/>
      <c r="C665" s="2"/>
      <c r="D665" s="2"/>
      <c r="E665" s="9"/>
      <c r="F665" s="9"/>
      <c r="G665" s="9"/>
      <c r="H665" s="9"/>
      <c r="I665" s="9"/>
      <c r="J665" s="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 customFormat="false" ht="15.75" hidden="false" customHeight="true" outlineLevel="0" collapsed="false">
      <c r="A666" s="2"/>
      <c r="B666" s="2"/>
      <c r="C666" s="2"/>
      <c r="D666" s="2"/>
      <c r="E666" s="9"/>
      <c r="F666" s="9"/>
      <c r="G666" s="9"/>
      <c r="H666" s="9"/>
      <c r="I666" s="9"/>
      <c r="J666" s="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 customFormat="false" ht="15.75" hidden="false" customHeight="true" outlineLevel="0" collapsed="false">
      <c r="A667" s="2"/>
      <c r="B667" s="2"/>
      <c r="C667" s="2"/>
      <c r="D667" s="2"/>
      <c r="E667" s="9"/>
      <c r="F667" s="9"/>
      <c r="G667" s="9"/>
      <c r="H667" s="9"/>
      <c r="I667" s="9"/>
      <c r="J667" s="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 customFormat="false" ht="15.75" hidden="false" customHeight="true" outlineLevel="0" collapsed="false">
      <c r="A668" s="2"/>
      <c r="B668" s="2"/>
      <c r="C668" s="2"/>
      <c r="D668" s="2"/>
      <c r="E668" s="9"/>
      <c r="F668" s="9"/>
      <c r="G668" s="9"/>
      <c r="H668" s="9"/>
      <c r="I668" s="9"/>
      <c r="J668" s="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 customFormat="false" ht="15.75" hidden="false" customHeight="true" outlineLevel="0" collapsed="false">
      <c r="A669" s="2"/>
      <c r="B669" s="2"/>
      <c r="C669" s="2"/>
      <c r="D669" s="2"/>
      <c r="E669" s="9"/>
      <c r="F669" s="9"/>
      <c r="G669" s="9"/>
      <c r="H669" s="9"/>
      <c r="I669" s="9"/>
      <c r="J669" s="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 customFormat="false" ht="15.75" hidden="false" customHeight="true" outlineLevel="0" collapsed="false">
      <c r="A670" s="2"/>
      <c r="B670" s="2"/>
      <c r="C670" s="2"/>
      <c r="D670" s="2"/>
      <c r="E670" s="9"/>
      <c r="F670" s="9"/>
      <c r="G670" s="9"/>
      <c r="H670" s="9"/>
      <c r="I670" s="9"/>
      <c r="J670" s="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 customFormat="false" ht="15.75" hidden="false" customHeight="true" outlineLevel="0" collapsed="false">
      <c r="A671" s="2"/>
      <c r="B671" s="2"/>
      <c r="C671" s="2"/>
      <c r="D671" s="2"/>
      <c r="E671" s="9"/>
      <c r="F671" s="9"/>
      <c r="G671" s="9"/>
      <c r="H671" s="9"/>
      <c r="I671" s="9"/>
      <c r="J671" s="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 customFormat="false" ht="15.75" hidden="false" customHeight="true" outlineLevel="0" collapsed="false">
      <c r="A672" s="2"/>
      <c r="B672" s="2"/>
      <c r="C672" s="2"/>
      <c r="D672" s="2"/>
      <c r="E672" s="9"/>
      <c r="F672" s="9"/>
      <c r="G672" s="9"/>
      <c r="H672" s="9"/>
      <c r="I672" s="9"/>
      <c r="J672" s="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 customFormat="false" ht="15.75" hidden="false" customHeight="true" outlineLevel="0" collapsed="false">
      <c r="A673" s="2"/>
      <c r="B673" s="2"/>
      <c r="C673" s="2"/>
      <c r="D673" s="2"/>
      <c r="E673" s="9"/>
      <c r="F673" s="9"/>
      <c r="G673" s="9"/>
      <c r="H673" s="9"/>
      <c r="I673" s="9"/>
      <c r="J673" s="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 customFormat="false" ht="15.75" hidden="false" customHeight="true" outlineLevel="0" collapsed="false">
      <c r="A674" s="2"/>
      <c r="B674" s="2"/>
      <c r="C674" s="2"/>
      <c r="D674" s="2"/>
      <c r="E674" s="9"/>
      <c r="F674" s="9"/>
      <c r="G674" s="9"/>
      <c r="H674" s="9"/>
      <c r="I674" s="9"/>
      <c r="J674" s="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 customFormat="false" ht="15.75" hidden="false" customHeight="true" outlineLevel="0" collapsed="false">
      <c r="A675" s="2"/>
      <c r="B675" s="2"/>
      <c r="C675" s="2"/>
      <c r="D675" s="2"/>
      <c r="E675" s="9"/>
      <c r="F675" s="9"/>
      <c r="G675" s="9"/>
      <c r="H675" s="9"/>
      <c r="I675" s="9"/>
      <c r="J675" s="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 customFormat="false" ht="15.75" hidden="false" customHeight="true" outlineLevel="0" collapsed="false">
      <c r="A676" s="2"/>
      <c r="B676" s="2"/>
      <c r="C676" s="2"/>
      <c r="D676" s="2"/>
      <c r="E676" s="9"/>
      <c r="F676" s="9"/>
      <c r="G676" s="9"/>
      <c r="H676" s="9"/>
      <c r="I676" s="9"/>
      <c r="J676" s="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 customFormat="false" ht="15.75" hidden="false" customHeight="true" outlineLevel="0" collapsed="false">
      <c r="A677" s="2"/>
      <c r="B677" s="2"/>
      <c r="C677" s="2"/>
      <c r="D677" s="2"/>
      <c r="E677" s="9"/>
      <c r="F677" s="9"/>
      <c r="G677" s="9"/>
      <c r="H677" s="9"/>
      <c r="I677" s="9"/>
      <c r="J677" s="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 customFormat="false" ht="15.75" hidden="false" customHeight="true" outlineLevel="0" collapsed="false">
      <c r="A678" s="2"/>
      <c r="B678" s="2"/>
      <c r="C678" s="2"/>
      <c r="D678" s="2"/>
      <c r="E678" s="9"/>
      <c r="F678" s="9"/>
      <c r="G678" s="9"/>
      <c r="H678" s="9"/>
      <c r="I678" s="9"/>
      <c r="J678" s="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 customFormat="false" ht="15.75" hidden="false" customHeight="true" outlineLevel="0" collapsed="false">
      <c r="A679" s="2"/>
      <c r="B679" s="2"/>
      <c r="C679" s="2"/>
      <c r="D679" s="2"/>
      <c r="E679" s="9"/>
      <c r="F679" s="9"/>
      <c r="G679" s="9"/>
      <c r="H679" s="9"/>
      <c r="I679" s="9"/>
      <c r="J679" s="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 customFormat="false" ht="15.75" hidden="false" customHeight="true" outlineLevel="0" collapsed="false">
      <c r="A680" s="2"/>
      <c r="B680" s="2"/>
      <c r="C680" s="2"/>
      <c r="D680" s="2"/>
      <c r="E680" s="9"/>
      <c r="F680" s="9"/>
      <c r="G680" s="9"/>
      <c r="H680" s="9"/>
      <c r="I680" s="9"/>
      <c r="J680" s="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 customFormat="false" ht="15.75" hidden="false" customHeight="true" outlineLevel="0" collapsed="false">
      <c r="A681" s="2"/>
      <c r="B681" s="2"/>
      <c r="C681" s="2"/>
      <c r="D681" s="2"/>
      <c r="E681" s="9"/>
      <c r="F681" s="9"/>
      <c r="G681" s="9"/>
      <c r="H681" s="9"/>
      <c r="I681" s="9"/>
      <c r="J681" s="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 customFormat="false" ht="15.75" hidden="false" customHeight="true" outlineLevel="0" collapsed="false">
      <c r="A682" s="2"/>
      <c r="B682" s="2"/>
      <c r="C682" s="2"/>
      <c r="D682" s="2"/>
      <c r="E682" s="9"/>
      <c r="F682" s="9"/>
      <c r="G682" s="9"/>
      <c r="H682" s="9"/>
      <c r="I682" s="9"/>
      <c r="J682" s="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</row>
    <row r="683" customFormat="false" ht="15.75" hidden="false" customHeight="true" outlineLevel="0" collapsed="false">
      <c r="A683" s="2"/>
      <c r="B683" s="2"/>
      <c r="C683" s="2"/>
      <c r="D683" s="2"/>
      <c r="E683" s="9"/>
      <c r="F683" s="9"/>
      <c r="G683" s="9"/>
      <c r="H683" s="9"/>
      <c r="I683" s="9"/>
      <c r="J683" s="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 customFormat="false" ht="15.75" hidden="false" customHeight="true" outlineLevel="0" collapsed="false">
      <c r="A684" s="2"/>
      <c r="B684" s="2"/>
      <c r="C684" s="2"/>
      <c r="D684" s="2"/>
      <c r="E684" s="9"/>
      <c r="F684" s="9"/>
      <c r="G684" s="9"/>
      <c r="H684" s="9"/>
      <c r="I684" s="9"/>
      <c r="J684" s="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 customFormat="false" ht="15.75" hidden="false" customHeight="true" outlineLevel="0" collapsed="false">
      <c r="A685" s="2"/>
      <c r="B685" s="2"/>
      <c r="C685" s="2"/>
      <c r="D685" s="2"/>
      <c r="E685" s="9"/>
      <c r="F685" s="9"/>
      <c r="G685" s="9"/>
      <c r="H685" s="9"/>
      <c r="I685" s="9"/>
      <c r="J685" s="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 customFormat="false" ht="15.75" hidden="false" customHeight="true" outlineLevel="0" collapsed="false">
      <c r="A686" s="2"/>
      <c r="B686" s="2"/>
      <c r="C686" s="2"/>
      <c r="D686" s="2"/>
      <c r="E686" s="9"/>
      <c r="F686" s="9"/>
      <c r="G686" s="9"/>
      <c r="H686" s="9"/>
      <c r="I686" s="9"/>
      <c r="J686" s="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 customFormat="false" ht="15.75" hidden="false" customHeight="true" outlineLevel="0" collapsed="false">
      <c r="A687" s="2"/>
      <c r="B687" s="2"/>
      <c r="C687" s="2"/>
      <c r="D687" s="2"/>
      <c r="E687" s="9"/>
      <c r="F687" s="9"/>
      <c r="G687" s="9"/>
      <c r="H687" s="9"/>
      <c r="I687" s="9"/>
      <c r="J687" s="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 customFormat="false" ht="15.75" hidden="false" customHeight="true" outlineLevel="0" collapsed="false">
      <c r="A688" s="2"/>
      <c r="B688" s="2"/>
      <c r="C688" s="2"/>
      <c r="D688" s="2"/>
      <c r="E688" s="9"/>
      <c r="F688" s="9"/>
      <c r="G688" s="9"/>
      <c r="H688" s="9"/>
      <c r="I688" s="9"/>
      <c r="J688" s="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 customFormat="false" ht="15.75" hidden="false" customHeight="true" outlineLevel="0" collapsed="false">
      <c r="A689" s="2"/>
      <c r="B689" s="2"/>
      <c r="C689" s="2"/>
      <c r="D689" s="2"/>
      <c r="E689" s="9"/>
      <c r="F689" s="9"/>
      <c r="G689" s="9"/>
      <c r="H689" s="9"/>
      <c r="I689" s="9"/>
      <c r="J689" s="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 customFormat="false" ht="15.75" hidden="false" customHeight="true" outlineLevel="0" collapsed="false">
      <c r="A690" s="2"/>
      <c r="B690" s="2"/>
      <c r="C690" s="2"/>
      <c r="D690" s="2"/>
      <c r="E690" s="9"/>
      <c r="F690" s="9"/>
      <c r="G690" s="9"/>
      <c r="H690" s="9"/>
      <c r="I690" s="9"/>
      <c r="J690" s="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 customFormat="false" ht="15.75" hidden="false" customHeight="true" outlineLevel="0" collapsed="false">
      <c r="A691" s="2"/>
      <c r="B691" s="2"/>
      <c r="C691" s="2"/>
      <c r="D691" s="2"/>
      <c r="E691" s="9"/>
      <c r="F691" s="9"/>
      <c r="G691" s="9"/>
      <c r="H691" s="9"/>
      <c r="I691" s="9"/>
      <c r="J691" s="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 customFormat="false" ht="15.75" hidden="false" customHeight="true" outlineLevel="0" collapsed="false">
      <c r="A692" s="2"/>
      <c r="B692" s="2"/>
      <c r="C692" s="2"/>
      <c r="D692" s="2"/>
      <c r="E692" s="9"/>
      <c r="F692" s="9"/>
      <c r="G692" s="9"/>
      <c r="H692" s="9"/>
      <c r="I692" s="9"/>
      <c r="J692" s="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 customFormat="false" ht="15.75" hidden="false" customHeight="true" outlineLevel="0" collapsed="false">
      <c r="A693" s="2"/>
      <c r="B693" s="2"/>
      <c r="C693" s="2"/>
      <c r="D693" s="2"/>
      <c r="E693" s="9"/>
      <c r="F693" s="9"/>
      <c r="G693" s="9"/>
      <c r="H693" s="9"/>
      <c r="I693" s="9"/>
      <c r="J693" s="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  <row r="694" customFormat="false" ht="15.75" hidden="false" customHeight="true" outlineLevel="0" collapsed="false">
      <c r="A694" s="2"/>
      <c r="B694" s="2"/>
      <c r="C694" s="2"/>
      <c r="D694" s="2"/>
      <c r="E694" s="9"/>
      <c r="F694" s="9"/>
      <c r="G694" s="9"/>
      <c r="H694" s="9"/>
      <c r="I694" s="9"/>
      <c r="J694" s="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</row>
    <row r="695" customFormat="false" ht="15.75" hidden="false" customHeight="true" outlineLevel="0" collapsed="false">
      <c r="A695" s="2"/>
      <c r="B695" s="2"/>
      <c r="C695" s="2"/>
      <c r="D695" s="2"/>
      <c r="E695" s="9"/>
      <c r="F695" s="9"/>
      <c r="G695" s="9"/>
      <c r="H695" s="9"/>
      <c r="I695" s="9"/>
      <c r="J695" s="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</row>
    <row r="696" customFormat="false" ht="15.75" hidden="false" customHeight="true" outlineLevel="0" collapsed="false">
      <c r="A696" s="2"/>
      <c r="B696" s="2"/>
      <c r="C696" s="2"/>
      <c r="D696" s="2"/>
      <c r="E696" s="9"/>
      <c r="F696" s="9"/>
      <c r="G696" s="9"/>
      <c r="H696" s="9"/>
      <c r="I696" s="9"/>
      <c r="J696" s="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</row>
    <row r="697" customFormat="false" ht="15.75" hidden="false" customHeight="true" outlineLevel="0" collapsed="false">
      <c r="A697" s="2"/>
      <c r="B697" s="2"/>
      <c r="C697" s="2"/>
      <c r="D697" s="2"/>
      <c r="E697" s="9"/>
      <c r="F697" s="9"/>
      <c r="G697" s="9"/>
      <c r="H697" s="9"/>
      <c r="I697" s="9"/>
      <c r="J697" s="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</row>
    <row r="698" customFormat="false" ht="15.75" hidden="false" customHeight="true" outlineLevel="0" collapsed="false">
      <c r="A698" s="2"/>
      <c r="B698" s="2"/>
      <c r="C698" s="2"/>
      <c r="D698" s="2"/>
      <c r="E698" s="9"/>
      <c r="F698" s="9"/>
      <c r="G698" s="9"/>
      <c r="H698" s="9"/>
      <c r="I698" s="9"/>
      <c r="J698" s="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</row>
    <row r="699" customFormat="false" ht="15.75" hidden="false" customHeight="true" outlineLevel="0" collapsed="false">
      <c r="A699" s="2"/>
      <c r="B699" s="2"/>
      <c r="C699" s="2"/>
      <c r="D699" s="2"/>
      <c r="E699" s="9"/>
      <c r="F699" s="9"/>
      <c r="G699" s="9"/>
      <c r="H699" s="9"/>
      <c r="I699" s="9"/>
      <c r="J699" s="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</row>
    <row r="700" customFormat="false" ht="15.75" hidden="false" customHeight="true" outlineLevel="0" collapsed="false">
      <c r="A700" s="2"/>
      <c r="B700" s="2"/>
      <c r="C700" s="2"/>
      <c r="D700" s="2"/>
      <c r="E700" s="9"/>
      <c r="F700" s="9"/>
      <c r="G700" s="9"/>
      <c r="H700" s="9"/>
      <c r="I700" s="9"/>
      <c r="J700" s="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</row>
    <row r="701" customFormat="false" ht="15.75" hidden="false" customHeight="true" outlineLevel="0" collapsed="false">
      <c r="A701" s="2"/>
      <c r="B701" s="2"/>
      <c r="C701" s="2"/>
      <c r="D701" s="2"/>
      <c r="E701" s="9"/>
      <c r="F701" s="9"/>
      <c r="G701" s="9"/>
      <c r="H701" s="9"/>
      <c r="I701" s="9"/>
      <c r="J701" s="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</row>
    <row r="702" customFormat="false" ht="15.75" hidden="false" customHeight="true" outlineLevel="0" collapsed="false">
      <c r="A702" s="2"/>
      <c r="B702" s="2"/>
      <c r="C702" s="2"/>
      <c r="D702" s="2"/>
      <c r="E702" s="9"/>
      <c r="F702" s="9"/>
      <c r="G702" s="9"/>
      <c r="H702" s="9"/>
      <c r="I702" s="9"/>
      <c r="J702" s="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</row>
    <row r="703" customFormat="false" ht="15.75" hidden="false" customHeight="true" outlineLevel="0" collapsed="false">
      <c r="A703" s="2"/>
      <c r="B703" s="2"/>
      <c r="C703" s="2"/>
      <c r="D703" s="2"/>
      <c r="E703" s="9"/>
      <c r="F703" s="9"/>
      <c r="G703" s="9"/>
      <c r="H703" s="9"/>
      <c r="I703" s="9"/>
      <c r="J703" s="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</row>
    <row r="704" customFormat="false" ht="15.75" hidden="false" customHeight="true" outlineLevel="0" collapsed="false">
      <c r="A704" s="2"/>
      <c r="B704" s="2"/>
      <c r="C704" s="2"/>
      <c r="D704" s="2"/>
      <c r="E704" s="9"/>
      <c r="F704" s="9"/>
      <c r="G704" s="9"/>
      <c r="H704" s="9"/>
      <c r="I704" s="9"/>
      <c r="J704" s="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</row>
    <row r="705" customFormat="false" ht="15.75" hidden="false" customHeight="true" outlineLevel="0" collapsed="false">
      <c r="A705" s="2"/>
      <c r="B705" s="2"/>
      <c r="C705" s="2"/>
      <c r="D705" s="2"/>
      <c r="E705" s="9"/>
      <c r="F705" s="9"/>
      <c r="G705" s="9"/>
      <c r="H705" s="9"/>
      <c r="I705" s="9"/>
      <c r="J705" s="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</row>
    <row r="706" customFormat="false" ht="15.75" hidden="false" customHeight="true" outlineLevel="0" collapsed="false">
      <c r="A706" s="2"/>
      <c r="B706" s="2"/>
      <c r="C706" s="2"/>
      <c r="D706" s="2"/>
      <c r="E706" s="9"/>
      <c r="F706" s="9"/>
      <c r="G706" s="9"/>
      <c r="H706" s="9"/>
      <c r="I706" s="9"/>
      <c r="J706" s="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</row>
    <row r="707" customFormat="false" ht="15.75" hidden="false" customHeight="true" outlineLevel="0" collapsed="false">
      <c r="A707" s="2"/>
      <c r="B707" s="2"/>
      <c r="C707" s="2"/>
      <c r="D707" s="2"/>
      <c r="E707" s="9"/>
      <c r="F707" s="9"/>
      <c r="G707" s="9"/>
      <c r="H707" s="9"/>
      <c r="I707" s="9"/>
      <c r="J707" s="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</row>
    <row r="708" customFormat="false" ht="15.75" hidden="false" customHeight="true" outlineLevel="0" collapsed="false">
      <c r="A708" s="2"/>
      <c r="B708" s="2"/>
      <c r="C708" s="2"/>
      <c r="D708" s="2"/>
      <c r="E708" s="9"/>
      <c r="F708" s="9"/>
      <c r="G708" s="9"/>
      <c r="H708" s="9"/>
      <c r="I708" s="9"/>
      <c r="J708" s="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</row>
    <row r="709" customFormat="false" ht="15.75" hidden="false" customHeight="true" outlineLevel="0" collapsed="false">
      <c r="A709" s="2"/>
      <c r="B709" s="2"/>
      <c r="C709" s="2"/>
      <c r="D709" s="2"/>
      <c r="E709" s="9"/>
      <c r="F709" s="9"/>
      <c r="G709" s="9"/>
      <c r="H709" s="9"/>
      <c r="I709" s="9"/>
      <c r="J709" s="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</row>
    <row r="710" customFormat="false" ht="15.75" hidden="false" customHeight="true" outlineLevel="0" collapsed="false">
      <c r="A710" s="2"/>
      <c r="B710" s="2"/>
      <c r="C710" s="2"/>
      <c r="D710" s="2"/>
      <c r="E710" s="9"/>
      <c r="F710" s="9"/>
      <c r="G710" s="9"/>
      <c r="H710" s="9"/>
      <c r="I710" s="9"/>
      <c r="J710" s="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</row>
    <row r="711" customFormat="false" ht="15.75" hidden="false" customHeight="true" outlineLevel="0" collapsed="false">
      <c r="A711" s="2"/>
      <c r="B711" s="2"/>
      <c r="C711" s="2"/>
      <c r="D711" s="2"/>
      <c r="E711" s="9"/>
      <c r="F711" s="9"/>
      <c r="G711" s="9"/>
      <c r="H711" s="9"/>
      <c r="I711" s="9"/>
      <c r="J711" s="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</row>
    <row r="712" customFormat="false" ht="15.75" hidden="false" customHeight="true" outlineLevel="0" collapsed="false">
      <c r="A712" s="2"/>
      <c r="B712" s="2"/>
      <c r="C712" s="2"/>
      <c r="D712" s="2"/>
      <c r="E712" s="9"/>
      <c r="F712" s="9"/>
      <c r="G712" s="9"/>
      <c r="H712" s="9"/>
      <c r="I712" s="9"/>
      <c r="J712" s="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</row>
    <row r="713" customFormat="false" ht="15.75" hidden="false" customHeight="true" outlineLevel="0" collapsed="false">
      <c r="A713" s="2"/>
      <c r="B713" s="2"/>
      <c r="C713" s="2"/>
      <c r="D713" s="2"/>
      <c r="E713" s="9"/>
      <c r="F713" s="9"/>
      <c r="G713" s="9"/>
      <c r="H713" s="9"/>
      <c r="I713" s="9"/>
      <c r="J713" s="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</row>
    <row r="714" customFormat="false" ht="15.75" hidden="false" customHeight="true" outlineLevel="0" collapsed="false">
      <c r="A714" s="2"/>
      <c r="B714" s="2"/>
      <c r="C714" s="2"/>
      <c r="D714" s="2"/>
      <c r="E714" s="9"/>
      <c r="F714" s="9"/>
      <c r="G714" s="9"/>
      <c r="H714" s="9"/>
      <c r="I714" s="9"/>
      <c r="J714" s="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</row>
    <row r="715" customFormat="false" ht="15.75" hidden="false" customHeight="true" outlineLevel="0" collapsed="false">
      <c r="A715" s="2"/>
      <c r="B715" s="2"/>
      <c r="C715" s="2"/>
      <c r="D715" s="2"/>
      <c r="E715" s="9"/>
      <c r="F715" s="9"/>
      <c r="G715" s="9"/>
      <c r="H715" s="9"/>
      <c r="I715" s="9"/>
      <c r="J715" s="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</row>
    <row r="716" customFormat="false" ht="15.75" hidden="false" customHeight="true" outlineLevel="0" collapsed="false">
      <c r="A716" s="2"/>
      <c r="B716" s="2"/>
      <c r="C716" s="2"/>
      <c r="D716" s="2"/>
      <c r="E716" s="9"/>
      <c r="F716" s="9"/>
      <c r="G716" s="9"/>
      <c r="H716" s="9"/>
      <c r="I716" s="9"/>
      <c r="J716" s="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</row>
    <row r="717" customFormat="false" ht="15.75" hidden="false" customHeight="true" outlineLevel="0" collapsed="false">
      <c r="A717" s="2"/>
      <c r="B717" s="2"/>
      <c r="C717" s="2"/>
      <c r="D717" s="2"/>
      <c r="E717" s="9"/>
      <c r="F717" s="9"/>
      <c r="G717" s="9"/>
      <c r="H717" s="9"/>
      <c r="I717" s="9"/>
      <c r="J717" s="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</row>
    <row r="718" customFormat="false" ht="15.75" hidden="false" customHeight="true" outlineLevel="0" collapsed="false">
      <c r="A718" s="2"/>
      <c r="B718" s="2"/>
      <c r="C718" s="2"/>
      <c r="D718" s="2"/>
      <c r="E718" s="9"/>
      <c r="F718" s="9"/>
      <c r="G718" s="9"/>
      <c r="H718" s="9"/>
      <c r="I718" s="9"/>
      <c r="J718" s="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</row>
    <row r="719" customFormat="false" ht="15.75" hidden="false" customHeight="true" outlineLevel="0" collapsed="false">
      <c r="A719" s="2"/>
      <c r="B719" s="2"/>
      <c r="C719" s="2"/>
      <c r="D719" s="2"/>
      <c r="E719" s="9"/>
      <c r="F719" s="9"/>
      <c r="G719" s="9"/>
      <c r="H719" s="9"/>
      <c r="I719" s="9"/>
      <c r="J719" s="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</row>
    <row r="720" customFormat="false" ht="15.75" hidden="false" customHeight="true" outlineLevel="0" collapsed="false">
      <c r="A720" s="2"/>
      <c r="B720" s="2"/>
      <c r="C720" s="2"/>
      <c r="D720" s="2"/>
      <c r="E720" s="9"/>
      <c r="F720" s="9"/>
      <c r="G720" s="9"/>
      <c r="H720" s="9"/>
      <c r="I720" s="9"/>
      <c r="J720" s="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</row>
    <row r="721" customFormat="false" ht="15.75" hidden="false" customHeight="true" outlineLevel="0" collapsed="false">
      <c r="A721" s="2"/>
      <c r="B721" s="2"/>
      <c r="C721" s="2"/>
      <c r="D721" s="2"/>
      <c r="E721" s="9"/>
      <c r="F721" s="9"/>
      <c r="G721" s="9"/>
      <c r="H721" s="9"/>
      <c r="I721" s="9"/>
      <c r="J721" s="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</row>
    <row r="722" customFormat="false" ht="15.75" hidden="false" customHeight="true" outlineLevel="0" collapsed="false">
      <c r="A722" s="2"/>
      <c r="B722" s="2"/>
      <c r="C722" s="2"/>
      <c r="D722" s="2"/>
      <c r="E722" s="9"/>
      <c r="F722" s="9"/>
      <c r="G722" s="9"/>
      <c r="H722" s="9"/>
      <c r="I722" s="9"/>
      <c r="J722" s="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</row>
    <row r="723" customFormat="false" ht="15.75" hidden="false" customHeight="true" outlineLevel="0" collapsed="false">
      <c r="A723" s="2"/>
      <c r="B723" s="2"/>
      <c r="C723" s="2"/>
      <c r="D723" s="2"/>
      <c r="E723" s="9"/>
      <c r="F723" s="9"/>
      <c r="G723" s="9"/>
      <c r="H723" s="9"/>
      <c r="I723" s="9"/>
      <c r="J723" s="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</row>
    <row r="724" customFormat="false" ht="15.75" hidden="false" customHeight="true" outlineLevel="0" collapsed="false">
      <c r="A724" s="2"/>
      <c r="B724" s="2"/>
      <c r="C724" s="2"/>
      <c r="D724" s="2"/>
      <c r="E724" s="9"/>
      <c r="F724" s="9"/>
      <c r="G724" s="9"/>
      <c r="H724" s="9"/>
      <c r="I724" s="9"/>
      <c r="J724" s="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</row>
    <row r="725" customFormat="false" ht="15.75" hidden="false" customHeight="true" outlineLevel="0" collapsed="false">
      <c r="A725" s="2"/>
      <c r="B725" s="2"/>
      <c r="C725" s="2"/>
      <c r="D725" s="2"/>
      <c r="E725" s="9"/>
      <c r="F725" s="9"/>
      <c r="G725" s="9"/>
      <c r="H725" s="9"/>
      <c r="I725" s="9"/>
      <c r="J725" s="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</row>
    <row r="726" customFormat="false" ht="15.75" hidden="false" customHeight="true" outlineLevel="0" collapsed="false">
      <c r="A726" s="2"/>
      <c r="B726" s="2"/>
      <c r="C726" s="2"/>
      <c r="D726" s="2"/>
      <c r="E726" s="9"/>
      <c r="F726" s="9"/>
      <c r="G726" s="9"/>
      <c r="H726" s="9"/>
      <c r="I726" s="9"/>
      <c r="J726" s="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</row>
    <row r="727" customFormat="false" ht="15.75" hidden="false" customHeight="true" outlineLevel="0" collapsed="false">
      <c r="A727" s="2"/>
      <c r="B727" s="2"/>
      <c r="C727" s="2"/>
      <c r="D727" s="2"/>
      <c r="E727" s="9"/>
      <c r="F727" s="9"/>
      <c r="G727" s="9"/>
      <c r="H727" s="9"/>
      <c r="I727" s="9"/>
      <c r="J727" s="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</row>
    <row r="728" customFormat="false" ht="15.75" hidden="false" customHeight="true" outlineLevel="0" collapsed="false">
      <c r="A728" s="2"/>
      <c r="B728" s="2"/>
      <c r="C728" s="2"/>
      <c r="D728" s="2"/>
      <c r="E728" s="9"/>
      <c r="F728" s="9"/>
      <c r="G728" s="9"/>
      <c r="H728" s="9"/>
      <c r="I728" s="9"/>
      <c r="J728" s="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</row>
    <row r="729" customFormat="false" ht="15.75" hidden="false" customHeight="true" outlineLevel="0" collapsed="false">
      <c r="A729" s="2"/>
      <c r="B729" s="2"/>
      <c r="C729" s="2"/>
      <c r="D729" s="2"/>
      <c r="E729" s="9"/>
      <c r="F729" s="9"/>
      <c r="G729" s="9"/>
      <c r="H729" s="9"/>
      <c r="I729" s="9"/>
      <c r="J729" s="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</row>
    <row r="730" customFormat="false" ht="15.75" hidden="false" customHeight="true" outlineLevel="0" collapsed="false">
      <c r="A730" s="2"/>
      <c r="B730" s="2"/>
      <c r="C730" s="2"/>
      <c r="D730" s="2"/>
      <c r="E730" s="9"/>
      <c r="F730" s="9"/>
      <c r="G730" s="9"/>
      <c r="H730" s="9"/>
      <c r="I730" s="9"/>
      <c r="J730" s="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</row>
    <row r="731" customFormat="false" ht="15.75" hidden="false" customHeight="true" outlineLevel="0" collapsed="false">
      <c r="A731" s="2"/>
      <c r="B731" s="2"/>
      <c r="C731" s="2"/>
      <c r="D731" s="2"/>
      <c r="E731" s="9"/>
      <c r="F731" s="9"/>
      <c r="G731" s="9"/>
      <c r="H731" s="9"/>
      <c r="I731" s="9"/>
      <c r="J731" s="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</row>
    <row r="732" customFormat="false" ht="15.75" hidden="false" customHeight="true" outlineLevel="0" collapsed="false">
      <c r="A732" s="2"/>
      <c r="B732" s="2"/>
      <c r="C732" s="2"/>
      <c r="D732" s="2"/>
      <c r="E732" s="9"/>
      <c r="F732" s="9"/>
      <c r="G732" s="9"/>
      <c r="H732" s="9"/>
      <c r="I732" s="9"/>
      <c r="J732" s="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</row>
    <row r="733" customFormat="false" ht="15.75" hidden="false" customHeight="true" outlineLevel="0" collapsed="false">
      <c r="A733" s="2"/>
      <c r="B733" s="2"/>
      <c r="C733" s="2"/>
      <c r="D733" s="2"/>
      <c r="E733" s="9"/>
      <c r="F733" s="9"/>
      <c r="G733" s="9"/>
      <c r="H733" s="9"/>
      <c r="I733" s="9"/>
      <c r="J733" s="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</row>
    <row r="734" customFormat="false" ht="15.75" hidden="false" customHeight="true" outlineLevel="0" collapsed="false">
      <c r="A734" s="2"/>
      <c r="B734" s="2"/>
      <c r="C734" s="2"/>
      <c r="D734" s="2"/>
      <c r="E734" s="9"/>
      <c r="F734" s="9"/>
      <c r="G734" s="9"/>
      <c r="H734" s="9"/>
      <c r="I734" s="9"/>
      <c r="J734" s="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</row>
    <row r="735" customFormat="false" ht="15.75" hidden="false" customHeight="true" outlineLevel="0" collapsed="false">
      <c r="A735" s="2"/>
      <c r="B735" s="2"/>
      <c r="C735" s="2"/>
      <c r="D735" s="2"/>
      <c r="E735" s="9"/>
      <c r="F735" s="9"/>
      <c r="G735" s="9"/>
      <c r="H735" s="9"/>
      <c r="I735" s="9"/>
      <c r="J735" s="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</row>
    <row r="736" customFormat="false" ht="15.75" hidden="false" customHeight="true" outlineLevel="0" collapsed="false">
      <c r="A736" s="2"/>
      <c r="B736" s="2"/>
      <c r="C736" s="2"/>
      <c r="D736" s="2"/>
      <c r="E736" s="9"/>
      <c r="F736" s="9"/>
      <c r="G736" s="9"/>
      <c r="H736" s="9"/>
      <c r="I736" s="9"/>
      <c r="J736" s="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</row>
    <row r="737" customFormat="false" ht="15.75" hidden="false" customHeight="true" outlineLevel="0" collapsed="false">
      <c r="A737" s="2"/>
      <c r="B737" s="2"/>
      <c r="C737" s="2"/>
      <c r="D737" s="2"/>
      <c r="E737" s="9"/>
      <c r="F737" s="9"/>
      <c r="G737" s="9"/>
      <c r="H737" s="9"/>
      <c r="I737" s="9"/>
      <c r="J737" s="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</row>
    <row r="738" customFormat="false" ht="15.75" hidden="false" customHeight="true" outlineLevel="0" collapsed="false">
      <c r="A738" s="2"/>
      <c r="B738" s="2"/>
      <c r="C738" s="2"/>
      <c r="D738" s="2"/>
      <c r="E738" s="9"/>
      <c r="F738" s="9"/>
      <c r="G738" s="9"/>
      <c r="H738" s="9"/>
      <c r="I738" s="9"/>
      <c r="J738" s="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</row>
    <row r="739" customFormat="false" ht="15.75" hidden="false" customHeight="true" outlineLevel="0" collapsed="false">
      <c r="A739" s="2"/>
      <c r="B739" s="2"/>
      <c r="C739" s="2"/>
      <c r="D739" s="2"/>
      <c r="E739" s="9"/>
      <c r="F739" s="9"/>
      <c r="G739" s="9"/>
      <c r="H739" s="9"/>
      <c r="I739" s="9"/>
      <c r="J739" s="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</row>
    <row r="740" customFormat="false" ht="15.75" hidden="false" customHeight="true" outlineLevel="0" collapsed="false">
      <c r="A740" s="2"/>
      <c r="B740" s="2"/>
      <c r="C740" s="2"/>
      <c r="D740" s="2"/>
      <c r="E740" s="9"/>
      <c r="F740" s="9"/>
      <c r="G740" s="9"/>
      <c r="H740" s="9"/>
      <c r="I740" s="9"/>
      <c r="J740" s="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</row>
    <row r="741" customFormat="false" ht="15.75" hidden="false" customHeight="true" outlineLevel="0" collapsed="false">
      <c r="A741" s="2"/>
      <c r="B741" s="2"/>
      <c r="C741" s="2"/>
      <c r="D741" s="2"/>
      <c r="E741" s="9"/>
      <c r="F741" s="9"/>
      <c r="G741" s="9"/>
      <c r="H741" s="9"/>
      <c r="I741" s="9"/>
      <c r="J741" s="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</row>
    <row r="742" customFormat="false" ht="15.75" hidden="false" customHeight="true" outlineLevel="0" collapsed="false">
      <c r="A742" s="2"/>
      <c r="B742" s="2"/>
      <c r="C742" s="2"/>
      <c r="D742" s="2"/>
      <c r="E742" s="9"/>
      <c r="F742" s="9"/>
      <c r="G742" s="9"/>
      <c r="H742" s="9"/>
      <c r="I742" s="9"/>
      <c r="J742" s="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</row>
    <row r="743" customFormat="false" ht="15.75" hidden="false" customHeight="true" outlineLevel="0" collapsed="false">
      <c r="A743" s="2"/>
      <c r="B743" s="2"/>
      <c r="C743" s="2"/>
      <c r="D743" s="2"/>
      <c r="E743" s="9"/>
      <c r="F743" s="9"/>
      <c r="G743" s="9"/>
      <c r="H743" s="9"/>
      <c r="I743" s="9"/>
      <c r="J743" s="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</row>
    <row r="744" customFormat="false" ht="15.75" hidden="false" customHeight="true" outlineLevel="0" collapsed="false">
      <c r="A744" s="2"/>
      <c r="B744" s="2"/>
      <c r="C744" s="2"/>
      <c r="D744" s="2"/>
      <c r="E744" s="9"/>
      <c r="F744" s="9"/>
      <c r="G744" s="9"/>
      <c r="H744" s="9"/>
      <c r="I744" s="9"/>
      <c r="J744" s="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</row>
    <row r="745" customFormat="false" ht="15.75" hidden="false" customHeight="true" outlineLevel="0" collapsed="false">
      <c r="A745" s="2"/>
      <c r="B745" s="2"/>
      <c r="C745" s="2"/>
      <c r="D745" s="2"/>
      <c r="E745" s="9"/>
      <c r="F745" s="9"/>
      <c r="G745" s="9"/>
      <c r="H745" s="9"/>
      <c r="I745" s="9"/>
      <c r="J745" s="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</row>
    <row r="746" customFormat="false" ht="15.75" hidden="false" customHeight="true" outlineLevel="0" collapsed="false">
      <c r="A746" s="2"/>
      <c r="B746" s="2"/>
      <c r="C746" s="2"/>
      <c r="D746" s="2"/>
      <c r="E746" s="9"/>
      <c r="F746" s="9"/>
      <c r="G746" s="9"/>
      <c r="H746" s="9"/>
      <c r="I746" s="9"/>
      <c r="J746" s="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</row>
    <row r="747" customFormat="false" ht="15.75" hidden="false" customHeight="true" outlineLevel="0" collapsed="false">
      <c r="A747" s="2"/>
      <c r="B747" s="2"/>
      <c r="C747" s="2"/>
      <c r="D747" s="2"/>
      <c r="E747" s="9"/>
      <c r="F747" s="9"/>
      <c r="G747" s="9"/>
      <c r="H747" s="9"/>
      <c r="I747" s="9"/>
      <c r="J747" s="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</row>
    <row r="748" customFormat="false" ht="15.75" hidden="false" customHeight="true" outlineLevel="0" collapsed="false">
      <c r="A748" s="2"/>
      <c r="B748" s="2"/>
      <c r="C748" s="2"/>
      <c r="D748" s="2"/>
      <c r="E748" s="9"/>
      <c r="F748" s="9"/>
      <c r="G748" s="9"/>
      <c r="H748" s="9"/>
      <c r="I748" s="9"/>
      <c r="J748" s="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</row>
    <row r="749" customFormat="false" ht="15.75" hidden="false" customHeight="true" outlineLevel="0" collapsed="false">
      <c r="A749" s="2"/>
      <c r="B749" s="2"/>
      <c r="C749" s="2"/>
      <c r="D749" s="2"/>
      <c r="E749" s="9"/>
      <c r="F749" s="9"/>
      <c r="G749" s="9"/>
      <c r="H749" s="9"/>
      <c r="I749" s="9"/>
      <c r="J749" s="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</row>
    <row r="750" customFormat="false" ht="15.75" hidden="false" customHeight="true" outlineLevel="0" collapsed="false">
      <c r="A750" s="2"/>
      <c r="B750" s="2"/>
      <c r="C750" s="2"/>
      <c r="D750" s="2"/>
      <c r="E750" s="9"/>
      <c r="F750" s="9"/>
      <c r="G750" s="9"/>
      <c r="H750" s="9"/>
      <c r="I750" s="9"/>
      <c r="J750" s="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</row>
    <row r="751" customFormat="false" ht="15.75" hidden="false" customHeight="true" outlineLevel="0" collapsed="false">
      <c r="A751" s="2"/>
      <c r="B751" s="2"/>
      <c r="C751" s="2"/>
      <c r="D751" s="2"/>
      <c r="E751" s="9"/>
      <c r="F751" s="9"/>
      <c r="G751" s="9"/>
      <c r="H751" s="9"/>
      <c r="I751" s="9"/>
      <c r="J751" s="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</row>
    <row r="752" customFormat="false" ht="15.75" hidden="false" customHeight="true" outlineLevel="0" collapsed="false">
      <c r="A752" s="2"/>
      <c r="B752" s="2"/>
      <c r="C752" s="2"/>
      <c r="D752" s="2"/>
      <c r="E752" s="9"/>
      <c r="F752" s="9"/>
      <c r="G752" s="9"/>
      <c r="H752" s="9"/>
      <c r="I752" s="9"/>
      <c r="J752" s="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</row>
    <row r="753" customFormat="false" ht="15.75" hidden="false" customHeight="true" outlineLevel="0" collapsed="false">
      <c r="A753" s="2"/>
      <c r="B753" s="2"/>
      <c r="C753" s="2"/>
      <c r="D753" s="2"/>
      <c r="E753" s="9"/>
      <c r="F753" s="9"/>
      <c r="G753" s="9"/>
      <c r="H753" s="9"/>
      <c r="I753" s="9"/>
      <c r="J753" s="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</row>
    <row r="754" customFormat="false" ht="15.75" hidden="false" customHeight="true" outlineLevel="0" collapsed="false">
      <c r="A754" s="2"/>
      <c r="B754" s="2"/>
      <c r="C754" s="2"/>
      <c r="D754" s="2"/>
      <c r="E754" s="9"/>
      <c r="F754" s="9"/>
      <c r="G754" s="9"/>
      <c r="H754" s="9"/>
      <c r="I754" s="9"/>
      <c r="J754" s="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</row>
    <row r="755" customFormat="false" ht="15.75" hidden="false" customHeight="true" outlineLevel="0" collapsed="false">
      <c r="A755" s="2"/>
      <c r="B755" s="2"/>
      <c r="C755" s="2"/>
      <c r="D755" s="2"/>
      <c r="E755" s="9"/>
      <c r="F755" s="9"/>
      <c r="G755" s="9"/>
      <c r="H755" s="9"/>
      <c r="I755" s="9"/>
      <c r="J755" s="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</row>
    <row r="756" customFormat="false" ht="15.75" hidden="false" customHeight="true" outlineLevel="0" collapsed="false">
      <c r="A756" s="2"/>
      <c r="B756" s="2"/>
      <c r="C756" s="2"/>
      <c r="D756" s="2"/>
      <c r="E756" s="9"/>
      <c r="F756" s="9"/>
      <c r="G756" s="9"/>
      <c r="H756" s="9"/>
      <c r="I756" s="9"/>
      <c r="J756" s="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</row>
    <row r="757" customFormat="false" ht="15.75" hidden="false" customHeight="true" outlineLevel="0" collapsed="false">
      <c r="A757" s="2"/>
      <c r="B757" s="2"/>
      <c r="C757" s="2"/>
      <c r="D757" s="2"/>
      <c r="E757" s="9"/>
      <c r="F757" s="9"/>
      <c r="G757" s="9"/>
      <c r="H757" s="9"/>
      <c r="I757" s="9"/>
      <c r="J757" s="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</row>
    <row r="758" customFormat="false" ht="15.75" hidden="false" customHeight="true" outlineLevel="0" collapsed="false">
      <c r="A758" s="2"/>
      <c r="B758" s="2"/>
      <c r="C758" s="2"/>
      <c r="D758" s="2"/>
      <c r="E758" s="9"/>
      <c r="F758" s="9"/>
      <c r="G758" s="9"/>
      <c r="H758" s="9"/>
      <c r="I758" s="9"/>
      <c r="J758" s="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</row>
    <row r="759" customFormat="false" ht="15.75" hidden="false" customHeight="true" outlineLevel="0" collapsed="false">
      <c r="A759" s="2"/>
      <c r="B759" s="2"/>
      <c r="C759" s="2"/>
      <c r="D759" s="2"/>
      <c r="E759" s="9"/>
      <c r="F759" s="9"/>
      <c r="G759" s="9"/>
      <c r="H759" s="9"/>
      <c r="I759" s="9"/>
      <c r="J759" s="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</row>
    <row r="760" customFormat="false" ht="15.75" hidden="false" customHeight="true" outlineLevel="0" collapsed="false">
      <c r="A760" s="2"/>
      <c r="B760" s="2"/>
      <c r="C760" s="2"/>
      <c r="D760" s="2"/>
      <c r="E760" s="9"/>
      <c r="F760" s="9"/>
      <c r="G760" s="9"/>
      <c r="H760" s="9"/>
      <c r="I760" s="9"/>
      <c r="J760" s="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</row>
    <row r="761" customFormat="false" ht="15.75" hidden="false" customHeight="true" outlineLevel="0" collapsed="false">
      <c r="A761" s="2"/>
      <c r="B761" s="2"/>
      <c r="C761" s="2"/>
      <c r="D761" s="2"/>
      <c r="E761" s="9"/>
      <c r="F761" s="9"/>
      <c r="G761" s="9"/>
      <c r="H761" s="9"/>
      <c r="I761" s="9"/>
      <c r="J761" s="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</row>
    <row r="762" customFormat="false" ht="15.75" hidden="false" customHeight="true" outlineLevel="0" collapsed="false">
      <c r="A762" s="2"/>
      <c r="B762" s="2"/>
      <c r="C762" s="2"/>
      <c r="D762" s="2"/>
      <c r="E762" s="9"/>
      <c r="F762" s="9"/>
      <c r="G762" s="9"/>
      <c r="H762" s="9"/>
      <c r="I762" s="9"/>
      <c r="J762" s="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</row>
    <row r="763" customFormat="false" ht="15.75" hidden="false" customHeight="true" outlineLevel="0" collapsed="false">
      <c r="A763" s="2"/>
      <c r="B763" s="2"/>
      <c r="C763" s="2"/>
      <c r="D763" s="2"/>
      <c r="E763" s="9"/>
      <c r="F763" s="9"/>
      <c r="G763" s="9"/>
      <c r="H763" s="9"/>
      <c r="I763" s="9"/>
      <c r="J763" s="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</row>
    <row r="764" customFormat="false" ht="15.75" hidden="false" customHeight="true" outlineLevel="0" collapsed="false">
      <c r="A764" s="2"/>
      <c r="B764" s="2"/>
      <c r="C764" s="2"/>
      <c r="D764" s="2"/>
      <c r="E764" s="9"/>
      <c r="F764" s="9"/>
      <c r="G764" s="9"/>
      <c r="H764" s="9"/>
      <c r="I764" s="9"/>
      <c r="J764" s="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</row>
    <row r="765" customFormat="false" ht="15.75" hidden="false" customHeight="true" outlineLevel="0" collapsed="false">
      <c r="A765" s="2"/>
      <c r="B765" s="2"/>
      <c r="C765" s="2"/>
      <c r="D765" s="2"/>
      <c r="E765" s="9"/>
      <c r="F765" s="9"/>
      <c r="G765" s="9"/>
      <c r="H765" s="9"/>
      <c r="I765" s="9"/>
      <c r="J765" s="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</row>
    <row r="766" customFormat="false" ht="15.75" hidden="false" customHeight="true" outlineLevel="0" collapsed="false">
      <c r="A766" s="2"/>
      <c r="B766" s="2"/>
      <c r="C766" s="2"/>
      <c r="D766" s="2"/>
      <c r="E766" s="9"/>
      <c r="F766" s="9"/>
      <c r="G766" s="9"/>
      <c r="H766" s="9"/>
      <c r="I766" s="9"/>
      <c r="J766" s="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</row>
    <row r="767" customFormat="false" ht="15.75" hidden="false" customHeight="true" outlineLevel="0" collapsed="false">
      <c r="A767" s="2"/>
      <c r="B767" s="2"/>
      <c r="C767" s="2"/>
      <c r="D767" s="2"/>
      <c r="E767" s="9"/>
      <c r="F767" s="9"/>
      <c r="G767" s="9"/>
      <c r="H767" s="9"/>
      <c r="I767" s="9"/>
      <c r="J767" s="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</row>
    <row r="768" customFormat="false" ht="15.75" hidden="false" customHeight="true" outlineLevel="0" collapsed="false">
      <c r="A768" s="2"/>
      <c r="B768" s="2"/>
      <c r="C768" s="2"/>
      <c r="D768" s="2"/>
      <c r="E768" s="9"/>
      <c r="F768" s="9"/>
      <c r="G768" s="9"/>
      <c r="H768" s="9"/>
      <c r="I768" s="9"/>
      <c r="J768" s="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</row>
    <row r="769" customFormat="false" ht="15.75" hidden="false" customHeight="true" outlineLevel="0" collapsed="false">
      <c r="A769" s="2"/>
      <c r="B769" s="2"/>
      <c r="C769" s="2"/>
      <c r="D769" s="2"/>
      <c r="E769" s="9"/>
      <c r="F769" s="9"/>
      <c r="G769" s="9"/>
      <c r="H769" s="9"/>
      <c r="I769" s="9"/>
      <c r="J769" s="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</row>
    <row r="770" customFormat="false" ht="15.75" hidden="false" customHeight="true" outlineLevel="0" collapsed="false">
      <c r="A770" s="2"/>
      <c r="B770" s="2"/>
      <c r="C770" s="2"/>
      <c r="D770" s="2"/>
      <c r="E770" s="9"/>
      <c r="F770" s="9"/>
      <c r="G770" s="9"/>
      <c r="H770" s="9"/>
      <c r="I770" s="9"/>
      <c r="J770" s="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</row>
    <row r="771" customFormat="false" ht="15.75" hidden="false" customHeight="true" outlineLevel="0" collapsed="false">
      <c r="A771" s="2"/>
      <c r="B771" s="2"/>
      <c r="C771" s="2"/>
      <c r="D771" s="2"/>
      <c r="E771" s="9"/>
      <c r="F771" s="9"/>
      <c r="G771" s="9"/>
      <c r="H771" s="9"/>
      <c r="I771" s="9"/>
      <c r="J771" s="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</row>
    <row r="772" customFormat="false" ht="15.75" hidden="false" customHeight="true" outlineLevel="0" collapsed="false">
      <c r="A772" s="2"/>
      <c r="B772" s="2"/>
      <c r="C772" s="2"/>
      <c r="D772" s="2"/>
      <c r="E772" s="9"/>
      <c r="F772" s="9"/>
      <c r="G772" s="9"/>
      <c r="H772" s="9"/>
      <c r="I772" s="9"/>
      <c r="J772" s="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</row>
    <row r="773" customFormat="false" ht="15.75" hidden="false" customHeight="true" outlineLevel="0" collapsed="false">
      <c r="A773" s="2"/>
      <c r="B773" s="2"/>
      <c r="C773" s="2"/>
      <c r="D773" s="2"/>
      <c r="E773" s="9"/>
      <c r="F773" s="9"/>
      <c r="G773" s="9"/>
      <c r="H773" s="9"/>
      <c r="I773" s="9"/>
      <c r="J773" s="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</row>
    <row r="774" customFormat="false" ht="15.75" hidden="false" customHeight="true" outlineLevel="0" collapsed="false">
      <c r="A774" s="2"/>
      <c r="B774" s="2"/>
      <c r="C774" s="2"/>
      <c r="D774" s="2"/>
      <c r="E774" s="9"/>
      <c r="F774" s="9"/>
      <c r="G774" s="9"/>
      <c r="H774" s="9"/>
      <c r="I774" s="9"/>
      <c r="J774" s="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</row>
    <row r="775" customFormat="false" ht="15.75" hidden="false" customHeight="true" outlineLevel="0" collapsed="false">
      <c r="A775" s="2"/>
      <c r="B775" s="2"/>
      <c r="C775" s="2"/>
      <c r="D775" s="2"/>
      <c r="E775" s="9"/>
      <c r="F775" s="9"/>
      <c r="G775" s="9"/>
      <c r="H775" s="9"/>
      <c r="I775" s="9"/>
      <c r="J775" s="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</row>
    <row r="776" customFormat="false" ht="15.75" hidden="false" customHeight="true" outlineLevel="0" collapsed="false">
      <c r="A776" s="2"/>
      <c r="B776" s="2"/>
      <c r="C776" s="2"/>
      <c r="D776" s="2"/>
      <c r="E776" s="9"/>
      <c r="F776" s="9"/>
      <c r="G776" s="9"/>
      <c r="H776" s="9"/>
      <c r="I776" s="9"/>
      <c r="J776" s="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</row>
    <row r="777" customFormat="false" ht="15.75" hidden="false" customHeight="true" outlineLevel="0" collapsed="false">
      <c r="A777" s="2"/>
      <c r="B777" s="2"/>
      <c r="C777" s="2"/>
      <c r="D777" s="2"/>
      <c r="E777" s="9"/>
      <c r="F777" s="9"/>
      <c r="G777" s="9"/>
      <c r="H777" s="9"/>
      <c r="I777" s="9"/>
      <c r="J777" s="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</row>
    <row r="778" customFormat="false" ht="15.75" hidden="false" customHeight="true" outlineLevel="0" collapsed="false">
      <c r="A778" s="2"/>
      <c r="B778" s="2"/>
      <c r="C778" s="2"/>
      <c r="D778" s="2"/>
      <c r="E778" s="9"/>
      <c r="F778" s="9"/>
      <c r="G778" s="9"/>
      <c r="H778" s="9"/>
      <c r="I778" s="9"/>
      <c r="J778" s="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</row>
    <row r="779" customFormat="false" ht="15.75" hidden="false" customHeight="true" outlineLevel="0" collapsed="false">
      <c r="A779" s="2"/>
      <c r="B779" s="2"/>
      <c r="C779" s="2"/>
      <c r="D779" s="2"/>
      <c r="E779" s="9"/>
      <c r="F779" s="9"/>
      <c r="G779" s="9"/>
      <c r="H779" s="9"/>
      <c r="I779" s="9"/>
      <c r="J779" s="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</row>
    <row r="780" customFormat="false" ht="15.75" hidden="false" customHeight="true" outlineLevel="0" collapsed="false">
      <c r="A780" s="2"/>
      <c r="B780" s="2"/>
      <c r="C780" s="2"/>
      <c r="D780" s="2"/>
      <c r="E780" s="9"/>
      <c r="F780" s="9"/>
      <c r="G780" s="9"/>
      <c r="H780" s="9"/>
      <c r="I780" s="9"/>
      <c r="J780" s="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</row>
    <row r="781" customFormat="false" ht="15.75" hidden="false" customHeight="true" outlineLevel="0" collapsed="false">
      <c r="A781" s="2"/>
      <c r="B781" s="2"/>
      <c r="C781" s="2"/>
      <c r="D781" s="2"/>
      <c r="E781" s="9"/>
      <c r="F781" s="9"/>
      <c r="G781" s="9"/>
      <c r="H781" s="9"/>
      <c r="I781" s="9"/>
      <c r="J781" s="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</row>
    <row r="782" customFormat="false" ht="15.75" hidden="false" customHeight="true" outlineLevel="0" collapsed="false">
      <c r="A782" s="2"/>
      <c r="B782" s="2"/>
      <c r="C782" s="2"/>
      <c r="D782" s="2"/>
      <c r="E782" s="9"/>
      <c r="F782" s="9"/>
      <c r="G782" s="9"/>
      <c r="H782" s="9"/>
      <c r="I782" s="9"/>
      <c r="J782" s="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</row>
    <row r="783" customFormat="false" ht="15.75" hidden="false" customHeight="true" outlineLevel="0" collapsed="false">
      <c r="A783" s="2"/>
      <c r="B783" s="2"/>
      <c r="C783" s="2"/>
      <c r="D783" s="2"/>
      <c r="E783" s="9"/>
      <c r="F783" s="9"/>
      <c r="G783" s="9"/>
      <c r="H783" s="9"/>
      <c r="I783" s="9"/>
      <c r="J783" s="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</row>
    <row r="784" customFormat="false" ht="15.75" hidden="false" customHeight="true" outlineLevel="0" collapsed="false">
      <c r="A784" s="2"/>
      <c r="B784" s="2"/>
      <c r="C784" s="2"/>
      <c r="D784" s="2"/>
      <c r="E784" s="9"/>
      <c r="F784" s="9"/>
      <c r="G784" s="9"/>
      <c r="H784" s="9"/>
      <c r="I784" s="9"/>
      <c r="J784" s="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</row>
    <row r="785" customFormat="false" ht="15.75" hidden="false" customHeight="true" outlineLevel="0" collapsed="false">
      <c r="A785" s="2"/>
      <c r="B785" s="2"/>
      <c r="C785" s="2"/>
      <c r="D785" s="2"/>
      <c r="E785" s="9"/>
      <c r="F785" s="9"/>
      <c r="G785" s="9"/>
      <c r="H785" s="9"/>
      <c r="I785" s="9"/>
      <c r="J785" s="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</row>
    <row r="786" customFormat="false" ht="15.75" hidden="false" customHeight="true" outlineLevel="0" collapsed="false">
      <c r="A786" s="2"/>
      <c r="B786" s="2"/>
      <c r="C786" s="2"/>
      <c r="D786" s="2"/>
      <c r="E786" s="9"/>
      <c r="F786" s="9"/>
      <c r="G786" s="9"/>
      <c r="H786" s="9"/>
      <c r="I786" s="9"/>
      <c r="J786" s="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</row>
    <row r="787" customFormat="false" ht="15.75" hidden="false" customHeight="true" outlineLevel="0" collapsed="false">
      <c r="A787" s="2"/>
      <c r="B787" s="2"/>
      <c r="C787" s="2"/>
      <c r="D787" s="2"/>
      <c r="E787" s="9"/>
      <c r="F787" s="9"/>
      <c r="G787" s="9"/>
      <c r="H787" s="9"/>
      <c r="I787" s="9"/>
      <c r="J787" s="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</row>
    <row r="788" customFormat="false" ht="15.75" hidden="false" customHeight="true" outlineLevel="0" collapsed="false">
      <c r="A788" s="2"/>
      <c r="B788" s="2"/>
      <c r="C788" s="2"/>
      <c r="D788" s="2"/>
      <c r="E788" s="9"/>
      <c r="F788" s="9"/>
      <c r="G788" s="9"/>
      <c r="H788" s="9"/>
      <c r="I788" s="9"/>
      <c r="J788" s="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</row>
    <row r="789" customFormat="false" ht="15.75" hidden="false" customHeight="true" outlineLevel="0" collapsed="false">
      <c r="A789" s="2"/>
      <c r="B789" s="2"/>
      <c r="C789" s="2"/>
      <c r="D789" s="2"/>
      <c r="E789" s="9"/>
      <c r="F789" s="9"/>
      <c r="G789" s="9"/>
      <c r="H789" s="9"/>
      <c r="I789" s="9"/>
      <c r="J789" s="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</row>
    <row r="790" customFormat="false" ht="15.75" hidden="false" customHeight="true" outlineLevel="0" collapsed="false">
      <c r="A790" s="2"/>
      <c r="B790" s="2"/>
      <c r="C790" s="2"/>
      <c r="D790" s="2"/>
      <c r="E790" s="9"/>
      <c r="F790" s="9"/>
      <c r="G790" s="9"/>
      <c r="H790" s="9"/>
      <c r="I790" s="9"/>
      <c r="J790" s="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</row>
    <row r="791" customFormat="false" ht="15.75" hidden="false" customHeight="true" outlineLevel="0" collapsed="false">
      <c r="A791" s="2"/>
      <c r="B791" s="2"/>
      <c r="C791" s="2"/>
      <c r="D791" s="2"/>
      <c r="E791" s="9"/>
      <c r="F791" s="9"/>
      <c r="G791" s="9"/>
      <c r="H791" s="9"/>
      <c r="I791" s="9"/>
      <c r="J791" s="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</row>
    <row r="792" customFormat="false" ht="15.75" hidden="false" customHeight="true" outlineLevel="0" collapsed="false">
      <c r="A792" s="2"/>
      <c r="B792" s="2"/>
      <c r="C792" s="2"/>
      <c r="D792" s="2"/>
      <c r="E792" s="9"/>
      <c r="F792" s="9"/>
      <c r="G792" s="9"/>
      <c r="H792" s="9"/>
      <c r="I792" s="9"/>
      <c r="J792" s="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</row>
    <row r="793" customFormat="false" ht="15.75" hidden="false" customHeight="true" outlineLevel="0" collapsed="false">
      <c r="A793" s="2"/>
      <c r="B793" s="2"/>
      <c r="C793" s="2"/>
      <c r="D793" s="2"/>
      <c r="E793" s="9"/>
      <c r="F793" s="9"/>
      <c r="G793" s="9"/>
      <c r="H793" s="9"/>
      <c r="I793" s="9"/>
      <c r="J793" s="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</row>
    <row r="794" customFormat="false" ht="15.75" hidden="false" customHeight="true" outlineLevel="0" collapsed="false">
      <c r="A794" s="2"/>
      <c r="B794" s="2"/>
      <c r="C794" s="2"/>
      <c r="D794" s="2"/>
      <c r="E794" s="9"/>
      <c r="F794" s="9"/>
      <c r="G794" s="9"/>
      <c r="H794" s="9"/>
      <c r="I794" s="9"/>
      <c r="J794" s="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</row>
    <row r="795" customFormat="false" ht="15.75" hidden="false" customHeight="true" outlineLevel="0" collapsed="false">
      <c r="A795" s="2"/>
      <c r="B795" s="2"/>
      <c r="C795" s="2"/>
      <c r="D795" s="2"/>
      <c r="E795" s="9"/>
      <c r="F795" s="9"/>
      <c r="G795" s="9"/>
      <c r="H795" s="9"/>
      <c r="I795" s="9"/>
      <c r="J795" s="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</row>
    <row r="796" customFormat="false" ht="15.75" hidden="false" customHeight="true" outlineLevel="0" collapsed="false">
      <c r="A796" s="2"/>
      <c r="B796" s="2"/>
      <c r="C796" s="2"/>
      <c r="D796" s="2"/>
      <c r="E796" s="9"/>
      <c r="F796" s="9"/>
      <c r="G796" s="9"/>
      <c r="H796" s="9"/>
      <c r="I796" s="9"/>
      <c r="J796" s="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</row>
    <row r="797" customFormat="false" ht="15.75" hidden="false" customHeight="true" outlineLevel="0" collapsed="false">
      <c r="A797" s="2"/>
      <c r="B797" s="2"/>
      <c r="C797" s="2"/>
      <c r="D797" s="2"/>
      <c r="E797" s="9"/>
      <c r="F797" s="9"/>
      <c r="G797" s="9"/>
      <c r="H797" s="9"/>
      <c r="I797" s="9"/>
      <c r="J797" s="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</row>
    <row r="798" customFormat="false" ht="15.75" hidden="false" customHeight="true" outlineLevel="0" collapsed="false">
      <c r="A798" s="2"/>
      <c r="B798" s="2"/>
      <c r="C798" s="2"/>
      <c r="D798" s="2"/>
      <c r="E798" s="9"/>
      <c r="F798" s="9"/>
      <c r="G798" s="9"/>
      <c r="H798" s="9"/>
      <c r="I798" s="9"/>
      <c r="J798" s="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</row>
    <row r="799" customFormat="false" ht="15.75" hidden="false" customHeight="true" outlineLevel="0" collapsed="false">
      <c r="A799" s="2"/>
      <c r="B799" s="2"/>
      <c r="C799" s="2"/>
      <c r="D799" s="2"/>
      <c r="E799" s="9"/>
      <c r="F799" s="9"/>
      <c r="G799" s="9"/>
      <c r="H799" s="9"/>
      <c r="I799" s="9"/>
      <c r="J799" s="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</row>
    <row r="800" customFormat="false" ht="15.75" hidden="false" customHeight="true" outlineLevel="0" collapsed="false">
      <c r="A800" s="2"/>
      <c r="B800" s="2"/>
      <c r="C800" s="2"/>
      <c r="D800" s="2"/>
      <c r="E800" s="9"/>
      <c r="F800" s="9"/>
      <c r="G800" s="9"/>
      <c r="H800" s="9"/>
      <c r="I800" s="9"/>
      <c r="J800" s="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</row>
    <row r="801" customFormat="false" ht="15.75" hidden="false" customHeight="true" outlineLevel="0" collapsed="false">
      <c r="A801" s="2"/>
      <c r="B801" s="2"/>
      <c r="C801" s="2"/>
      <c r="D801" s="2"/>
      <c r="E801" s="9"/>
      <c r="F801" s="9"/>
      <c r="G801" s="9"/>
      <c r="H801" s="9"/>
      <c r="I801" s="9"/>
      <c r="J801" s="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</row>
    <row r="802" customFormat="false" ht="15.75" hidden="false" customHeight="true" outlineLevel="0" collapsed="false">
      <c r="A802" s="2"/>
      <c r="B802" s="2"/>
      <c r="C802" s="2"/>
      <c r="D802" s="2"/>
      <c r="E802" s="9"/>
      <c r="F802" s="9"/>
      <c r="G802" s="9"/>
      <c r="H802" s="9"/>
      <c r="I802" s="9"/>
      <c r="J802" s="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</row>
    <row r="803" customFormat="false" ht="15.75" hidden="false" customHeight="true" outlineLevel="0" collapsed="false">
      <c r="A803" s="2"/>
      <c r="B803" s="2"/>
      <c r="C803" s="2"/>
      <c r="D803" s="2"/>
      <c r="E803" s="9"/>
      <c r="F803" s="9"/>
      <c r="G803" s="9"/>
      <c r="H803" s="9"/>
      <c r="I803" s="9"/>
      <c r="J803" s="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</row>
    <row r="804" customFormat="false" ht="15.75" hidden="false" customHeight="true" outlineLevel="0" collapsed="false">
      <c r="A804" s="2"/>
      <c r="B804" s="2"/>
      <c r="C804" s="2"/>
      <c r="D804" s="2"/>
      <c r="E804" s="9"/>
      <c r="F804" s="9"/>
      <c r="G804" s="9"/>
      <c r="H804" s="9"/>
      <c r="I804" s="9"/>
      <c r="J804" s="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</row>
    <row r="805" customFormat="false" ht="15.75" hidden="false" customHeight="true" outlineLevel="0" collapsed="false">
      <c r="A805" s="2"/>
      <c r="B805" s="2"/>
      <c r="C805" s="2"/>
      <c r="D805" s="2"/>
      <c r="E805" s="9"/>
      <c r="F805" s="9"/>
      <c r="G805" s="9"/>
      <c r="H805" s="9"/>
      <c r="I805" s="9"/>
      <c r="J805" s="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</row>
    <row r="806" customFormat="false" ht="15.75" hidden="false" customHeight="true" outlineLevel="0" collapsed="false">
      <c r="A806" s="2"/>
      <c r="B806" s="2"/>
      <c r="C806" s="2"/>
      <c r="D806" s="2"/>
      <c r="E806" s="9"/>
      <c r="F806" s="9"/>
      <c r="G806" s="9"/>
      <c r="H806" s="9"/>
      <c r="I806" s="9"/>
      <c r="J806" s="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</row>
    <row r="807" customFormat="false" ht="15.75" hidden="false" customHeight="true" outlineLevel="0" collapsed="false">
      <c r="A807" s="2"/>
      <c r="B807" s="2"/>
      <c r="C807" s="2"/>
      <c r="D807" s="2"/>
      <c r="E807" s="9"/>
      <c r="F807" s="9"/>
      <c r="G807" s="9"/>
      <c r="H807" s="9"/>
      <c r="I807" s="9"/>
      <c r="J807" s="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</row>
    <row r="808" customFormat="false" ht="15.75" hidden="false" customHeight="true" outlineLevel="0" collapsed="false">
      <c r="A808" s="2"/>
      <c r="B808" s="2"/>
      <c r="C808" s="2"/>
      <c r="D808" s="2"/>
      <c r="E808" s="9"/>
      <c r="F808" s="9"/>
      <c r="G808" s="9"/>
      <c r="H808" s="9"/>
      <c r="I808" s="9"/>
      <c r="J808" s="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</row>
    <row r="809" customFormat="false" ht="15.75" hidden="false" customHeight="true" outlineLevel="0" collapsed="false">
      <c r="A809" s="2"/>
      <c r="B809" s="2"/>
      <c r="C809" s="2"/>
      <c r="D809" s="2"/>
      <c r="E809" s="9"/>
      <c r="F809" s="9"/>
      <c r="G809" s="9"/>
      <c r="H809" s="9"/>
      <c r="I809" s="9"/>
      <c r="J809" s="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</row>
    <row r="810" customFormat="false" ht="15.75" hidden="false" customHeight="true" outlineLevel="0" collapsed="false">
      <c r="A810" s="2"/>
      <c r="B810" s="2"/>
      <c r="C810" s="2"/>
      <c r="D810" s="2"/>
      <c r="E810" s="9"/>
      <c r="F810" s="9"/>
      <c r="G810" s="9"/>
      <c r="H810" s="9"/>
      <c r="I810" s="9"/>
      <c r="J810" s="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</row>
    <row r="811" customFormat="false" ht="15.75" hidden="false" customHeight="true" outlineLevel="0" collapsed="false">
      <c r="A811" s="2"/>
      <c r="B811" s="2"/>
      <c r="C811" s="2"/>
      <c r="D811" s="2"/>
      <c r="E811" s="9"/>
      <c r="F811" s="9"/>
      <c r="G811" s="9"/>
      <c r="H811" s="9"/>
      <c r="I811" s="9"/>
      <c r="J811" s="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</row>
    <row r="812" customFormat="false" ht="15.75" hidden="false" customHeight="true" outlineLevel="0" collapsed="false">
      <c r="A812" s="2"/>
      <c r="B812" s="2"/>
      <c r="C812" s="2"/>
      <c r="D812" s="2"/>
      <c r="E812" s="9"/>
      <c r="F812" s="9"/>
      <c r="G812" s="9"/>
      <c r="H812" s="9"/>
      <c r="I812" s="9"/>
      <c r="J812" s="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</row>
    <row r="813" customFormat="false" ht="15.75" hidden="false" customHeight="true" outlineLevel="0" collapsed="false">
      <c r="A813" s="2"/>
      <c r="B813" s="2"/>
      <c r="C813" s="2"/>
      <c r="D813" s="2"/>
      <c r="E813" s="9"/>
      <c r="F813" s="9"/>
      <c r="G813" s="9"/>
      <c r="H813" s="9"/>
      <c r="I813" s="9"/>
      <c r="J813" s="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</row>
    <row r="814" customFormat="false" ht="15.75" hidden="false" customHeight="true" outlineLevel="0" collapsed="false">
      <c r="A814" s="2"/>
      <c r="B814" s="2"/>
      <c r="C814" s="2"/>
      <c r="D814" s="2"/>
      <c r="E814" s="9"/>
      <c r="F814" s="9"/>
      <c r="G814" s="9"/>
      <c r="H814" s="9"/>
      <c r="I814" s="9"/>
      <c r="J814" s="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</row>
    <row r="815" customFormat="false" ht="15.75" hidden="false" customHeight="true" outlineLevel="0" collapsed="false">
      <c r="A815" s="2"/>
      <c r="B815" s="2"/>
      <c r="C815" s="2"/>
      <c r="D815" s="2"/>
      <c r="E815" s="9"/>
      <c r="F815" s="9"/>
      <c r="G815" s="9"/>
      <c r="H815" s="9"/>
      <c r="I815" s="9"/>
      <c r="J815" s="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</row>
    <row r="816" customFormat="false" ht="15.75" hidden="false" customHeight="true" outlineLevel="0" collapsed="false">
      <c r="A816" s="2"/>
      <c r="B816" s="2"/>
      <c r="C816" s="2"/>
      <c r="D816" s="2"/>
      <c r="E816" s="9"/>
      <c r="F816" s="9"/>
      <c r="G816" s="9"/>
      <c r="H816" s="9"/>
      <c r="I816" s="9"/>
      <c r="J816" s="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</row>
    <row r="817" customFormat="false" ht="15.75" hidden="false" customHeight="true" outlineLevel="0" collapsed="false">
      <c r="A817" s="2"/>
      <c r="B817" s="2"/>
      <c r="C817" s="2"/>
      <c r="D817" s="2"/>
      <c r="E817" s="9"/>
      <c r="F817" s="9"/>
      <c r="G817" s="9"/>
      <c r="H817" s="9"/>
      <c r="I817" s="9"/>
      <c r="J817" s="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</row>
    <row r="818" customFormat="false" ht="15.75" hidden="false" customHeight="true" outlineLevel="0" collapsed="false">
      <c r="A818" s="2"/>
      <c r="B818" s="2"/>
      <c r="C818" s="2"/>
      <c r="D818" s="2"/>
      <c r="E818" s="9"/>
      <c r="F818" s="9"/>
      <c r="G818" s="9"/>
      <c r="H818" s="9"/>
      <c r="I818" s="9"/>
      <c r="J818" s="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</row>
    <row r="819" customFormat="false" ht="15.75" hidden="false" customHeight="true" outlineLevel="0" collapsed="false">
      <c r="A819" s="2"/>
      <c r="B819" s="2"/>
      <c r="C819" s="2"/>
      <c r="D819" s="2"/>
      <c r="E819" s="9"/>
      <c r="F819" s="9"/>
      <c r="G819" s="9"/>
      <c r="H819" s="9"/>
      <c r="I819" s="9"/>
      <c r="J819" s="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</row>
    <row r="820" customFormat="false" ht="15.75" hidden="false" customHeight="true" outlineLevel="0" collapsed="false">
      <c r="A820" s="2"/>
      <c r="B820" s="2"/>
      <c r="C820" s="2"/>
      <c r="D820" s="2"/>
      <c r="E820" s="9"/>
      <c r="F820" s="9"/>
      <c r="G820" s="9"/>
      <c r="H820" s="9"/>
      <c r="I820" s="9"/>
      <c r="J820" s="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</row>
    <row r="821" customFormat="false" ht="15.75" hidden="false" customHeight="true" outlineLevel="0" collapsed="false">
      <c r="A821" s="2"/>
      <c r="B821" s="2"/>
      <c r="C821" s="2"/>
      <c r="D821" s="2"/>
      <c r="E821" s="9"/>
      <c r="F821" s="9"/>
      <c r="G821" s="9"/>
      <c r="H821" s="9"/>
      <c r="I821" s="9"/>
      <c r="J821" s="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</row>
    <row r="822" customFormat="false" ht="15.75" hidden="false" customHeight="true" outlineLevel="0" collapsed="false">
      <c r="A822" s="2"/>
      <c r="B822" s="2"/>
      <c r="C822" s="2"/>
      <c r="D822" s="2"/>
      <c r="E822" s="9"/>
      <c r="F822" s="9"/>
      <c r="G822" s="9"/>
      <c r="H822" s="9"/>
      <c r="I822" s="9"/>
      <c r="J822" s="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</row>
    <row r="823" customFormat="false" ht="15.75" hidden="false" customHeight="true" outlineLevel="0" collapsed="false">
      <c r="A823" s="2"/>
      <c r="B823" s="2"/>
      <c r="C823" s="2"/>
      <c r="D823" s="2"/>
      <c r="E823" s="9"/>
      <c r="F823" s="9"/>
      <c r="G823" s="9"/>
      <c r="H823" s="9"/>
      <c r="I823" s="9"/>
      <c r="J823" s="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</row>
    <row r="824" customFormat="false" ht="15.75" hidden="false" customHeight="true" outlineLevel="0" collapsed="false">
      <c r="A824" s="2"/>
      <c r="B824" s="2"/>
      <c r="C824" s="2"/>
      <c r="D824" s="2"/>
      <c r="E824" s="9"/>
      <c r="F824" s="9"/>
      <c r="G824" s="9"/>
      <c r="H824" s="9"/>
      <c r="I824" s="9"/>
      <c r="J824" s="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</row>
    <row r="825" customFormat="false" ht="15.75" hidden="false" customHeight="true" outlineLevel="0" collapsed="false">
      <c r="A825" s="2"/>
      <c r="B825" s="2"/>
      <c r="C825" s="2"/>
      <c r="D825" s="2"/>
      <c r="E825" s="9"/>
      <c r="F825" s="9"/>
      <c r="G825" s="9"/>
      <c r="H825" s="9"/>
      <c r="I825" s="9"/>
      <c r="J825" s="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</row>
    <row r="826" customFormat="false" ht="15.75" hidden="false" customHeight="true" outlineLevel="0" collapsed="false">
      <c r="A826" s="2"/>
      <c r="B826" s="2"/>
      <c r="C826" s="2"/>
      <c r="D826" s="2"/>
      <c r="E826" s="9"/>
      <c r="F826" s="9"/>
      <c r="G826" s="9"/>
      <c r="H826" s="9"/>
      <c r="I826" s="9"/>
      <c r="J826" s="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</row>
    <row r="827" customFormat="false" ht="15.75" hidden="false" customHeight="true" outlineLevel="0" collapsed="false">
      <c r="A827" s="2"/>
      <c r="B827" s="2"/>
      <c r="C827" s="2"/>
      <c r="D827" s="2"/>
      <c r="E827" s="9"/>
      <c r="F827" s="9"/>
      <c r="G827" s="9"/>
      <c r="H827" s="9"/>
      <c r="I827" s="9"/>
      <c r="J827" s="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</row>
    <row r="828" customFormat="false" ht="15.75" hidden="false" customHeight="true" outlineLevel="0" collapsed="false">
      <c r="A828" s="2"/>
      <c r="B828" s="2"/>
      <c r="C828" s="2"/>
      <c r="D828" s="2"/>
      <c r="E828" s="9"/>
      <c r="F828" s="9"/>
      <c r="G828" s="9"/>
      <c r="H828" s="9"/>
      <c r="I828" s="9"/>
      <c r="J828" s="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</row>
    <row r="829" customFormat="false" ht="15.75" hidden="false" customHeight="true" outlineLevel="0" collapsed="false">
      <c r="A829" s="2"/>
      <c r="B829" s="2"/>
      <c r="C829" s="2"/>
      <c r="D829" s="2"/>
      <c r="E829" s="9"/>
      <c r="F829" s="9"/>
      <c r="G829" s="9"/>
      <c r="H829" s="9"/>
      <c r="I829" s="9"/>
      <c r="J829" s="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</row>
    <row r="830" customFormat="false" ht="15.75" hidden="false" customHeight="true" outlineLevel="0" collapsed="false">
      <c r="A830" s="2"/>
      <c r="B830" s="2"/>
      <c r="C830" s="2"/>
      <c r="D830" s="2"/>
      <c r="E830" s="9"/>
      <c r="F830" s="9"/>
      <c r="G830" s="9"/>
      <c r="H830" s="9"/>
      <c r="I830" s="9"/>
      <c r="J830" s="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</row>
    <row r="831" customFormat="false" ht="15.75" hidden="false" customHeight="true" outlineLevel="0" collapsed="false">
      <c r="A831" s="2"/>
      <c r="B831" s="2"/>
      <c r="C831" s="2"/>
      <c r="D831" s="2"/>
      <c r="E831" s="9"/>
      <c r="F831" s="9"/>
      <c r="G831" s="9"/>
      <c r="H831" s="9"/>
      <c r="I831" s="9"/>
      <c r="J831" s="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</row>
    <row r="832" customFormat="false" ht="15.75" hidden="false" customHeight="true" outlineLevel="0" collapsed="false">
      <c r="A832" s="2"/>
      <c r="B832" s="2"/>
      <c r="C832" s="2"/>
      <c r="D832" s="2"/>
      <c r="E832" s="9"/>
      <c r="F832" s="9"/>
      <c r="G832" s="9"/>
      <c r="H832" s="9"/>
      <c r="I832" s="9"/>
      <c r="J832" s="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</row>
    <row r="833" customFormat="false" ht="15.75" hidden="false" customHeight="true" outlineLevel="0" collapsed="false">
      <c r="A833" s="2"/>
      <c r="B833" s="2"/>
      <c r="C833" s="2"/>
      <c r="D833" s="2"/>
      <c r="E833" s="9"/>
      <c r="F833" s="9"/>
      <c r="G833" s="9"/>
      <c r="H833" s="9"/>
      <c r="I833" s="9"/>
      <c r="J833" s="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</row>
    <row r="834" customFormat="false" ht="15.75" hidden="false" customHeight="true" outlineLevel="0" collapsed="false">
      <c r="A834" s="2"/>
      <c r="B834" s="2"/>
      <c r="C834" s="2"/>
      <c r="D834" s="2"/>
      <c r="E834" s="9"/>
      <c r="F834" s="9"/>
      <c r="G834" s="9"/>
      <c r="H834" s="9"/>
      <c r="I834" s="9"/>
      <c r="J834" s="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</row>
    <row r="835" customFormat="false" ht="15.75" hidden="false" customHeight="true" outlineLevel="0" collapsed="false">
      <c r="A835" s="2"/>
      <c r="B835" s="2"/>
      <c r="C835" s="2"/>
      <c r="D835" s="2"/>
      <c r="E835" s="9"/>
      <c r="F835" s="9"/>
      <c r="G835" s="9"/>
      <c r="H835" s="9"/>
      <c r="I835" s="9"/>
      <c r="J835" s="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</row>
    <row r="836" customFormat="false" ht="15.75" hidden="false" customHeight="true" outlineLevel="0" collapsed="false">
      <c r="A836" s="2"/>
      <c r="B836" s="2"/>
      <c r="C836" s="2"/>
      <c r="D836" s="2"/>
      <c r="E836" s="9"/>
      <c r="F836" s="9"/>
      <c r="G836" s="9"/>
      <c r="H836" s="9"/>
      <c r="I836" s="9"/>
      <c r="J836" s="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</row>
    <row r="837" customFormat="false" ht="15.75" hidden="false" customHeight="true" outlineLevel="0" collapsed="false">
      <c r="A837" s="2"/>
      <c r="B837" s="2"/>
      <c r="C837" s="2"/>
      <c r="D837" s="2"/>
      <c r="E837" s="9"/>
      <c r="F837" s="9"/>
      <c r="G837" s="9"/>
      <c r="H837" s="9"/>
      <c r="I837" s="9"/>
      <c r="J837" s="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</row>
    <row r="838" customFormat="false" ht="15.75" hidden="false" customHeight="true" outlineLevel="0" collapsed="false">
      <c r="A838" s="2"/>
      <c r="B838" s="2"/>
      <c r="C838" s="2"/>
      <c r="D838" s="2"/>
      <c r="E838" s="9"/>
      <c r="F838" s="9"/>
      <c r="G838" s="9"/>
      <c r="H838" s="9"/>
      <c r="I838" s="9"/>
      <c r="J838" s="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</row>
    <row r="839" customFormat="false" ht="15.75" hidden="false" customHeight="true" outlineLevel="0" collapsed="false">
      <c r="A839" s="2"/>
      <c r="B839" s="2"/>
      <c r="C839" s="2"/>
      <c r="D839" s="2"/>
      <c r="E839" s="9"/>
      <c r="F839" s="9"/>
      <c r="G839" s="9"/>
      <c r="H839" s="9"/>
      <c r="I839" s="9"/>
      <c r="J839" s="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</row>
    <row r="840" customFormat="false" ht="15.75" hidden="false" customHeight="true" outlineLevel="0" collapsed="false">
      <c r="A840" s="2"/>
      <c r="B840" s="2"/>
      <c r="C840" s="2"/>
      <c r="D840" s="2"/>
      <c r="E840" s="9"/>
      <c r="F840" s="9"/>
      <c r="G840" s="9"/>
      <c r="H840" s="9"/>
      <c r="I840" s="9"/>
      <c r="J840" s="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</row>
    <row r="841" customFormat="false" ht="15.75" hidden="false" customHeight="true" outlineLevel="0" collapsed="false">
      <c r="A841" s="2"/>
      <c r="B841" s="2"/>
      <c r="C841" s="2"/>
      <c r="D841" s="2"/>
      <c r="E841" s="9"/>
      <c r="F841" s="9"/>
      <c r="G841" s="9"/>
      <c r="H841" s="9"/>
      <c r="I841" s="9"/>
      <c r="J841" s="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</row>
    <row r="842" customFormat="false" ht="15.75" hidden="false" customHeight="true" outlineLevel="0" collapsed="false">
      <c r="A842" s="2"/>
      <c r="B842" s="2"/>
      <c r="C842" s="2"/>
      <c r="D842" s="2"/>
      <c r="E842" s="9"/>
      <c r="F842" s="9"/>
      <c r="G842" s="9"/>
      <c r="H842" s="9"/>
      <c r="I842" s="9"/>
      <c r="J842" s="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</row>
    <row r="843" customFormat="false" ht="15.75" hidden="false" customHeight="true" outlineLevel="0" collapsed="false">
      <c r="A843" s="2"/>
      <c r="B843" s="2"/>
      <c r="C843" s="2"/>
      <c r="D843" s="2"/>
      <c r="E843" s="9"/>
      <c r="F843" s="9"/>
      <c r="G843" s="9"/>
      <c r="H843" s="9"/>
      <c r="I843" s="9"/>
      <c r="J843" s="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</row>
    <row r="844" customFormat="false" ht="15.75" hidden="false" customHeight="true" outlineLevel="0" collapsed="false">
      <c r="A844" s="2"/>
      <c r="B844" s="2"/>
      <c r="C844" s="2"/>
      <c r="D844" s="2"/>
      <c r="E844" s="9"/>
      <c r="F844" s="9"/>
      <c r="G844" s="9"/>
      <c r="H844" s="9"/>
      <c r="I844" s="9"/>
      <c r="J844" s="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</row>
    <row r="845" customFormat="false" ht="15.75" hidden="false" customHeight="true" outlineLevel="0" collapsed="false">
      <c r="A845" s="2"/>
      <c r="B845" s="2"/>
      <c r="C845" s="2"/>
      <c r="D845" s="2"/>
      <c r="E845" s="9"/>
      <c r="F845" s="9"/>
      <c r="G845" s="9"/>
      <c r="H845" s="9"/>
      <c r="I845" s="9"/>
      <c r="J845" s="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</row>
    <row r="846" customFormat="false" ht="15.75" hidden="false" customHeight="true" outlineLevel="0" collapsed="false">
      <c r="A846" s="2"/>
      <c r="B846" s="2"/>
      <c r="C846" s="2"/>
      <c r="D846" s="2"/>
      <c r="E846" s="9"/>
      <c r="F846" s="9"/>
      <c r="G846" s="9"/>
      <c r="H846" s="9"/>
      <c r="I846" s="9"/>
      <c r="J846" s="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</row>
    <row r="847" customFormat="false" ht="15.75" hidden="false" customHeight="true" outlineLevel="0" collapsed="false">
      <c r="A847" s="2"/>
      <c r="B847" s="2"/>
      <c r="C847" s="2"/>
      <c r="D847" s="2"/>
      <c r="E847" s="9"/>
      <c r="F847" s="9"/>
      <c r="G847" s="9"/>
      <c r="H847" s="9"/>
      <c r="I847" s="9"/>
      <c r="J847" s="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</row>
    <row r="848" customFormat="false" ht="15.75" hidden="false" customHeight="true" outlineLevel="0" collapsed="false">
      <c r="A848" s="2"/>
      <c r="B848" s="2"/>
      <c r="C848" s="2"/>
      <c r="D848" s="2"/>
      <c r="E848" s="9"/>
      <c r="F848" s="9"/>
      <c r="G848" s="9"/>
      <c r="H848" s="9"/>
      <c r="I848" s="9"/>
      <c r="J848" s="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</row>
    <row r="849" customFormat="false" ht="15.75" hidden="false" customHeight="true" outlineLevel="0" collapsed="false">
      <c r="A849" s="2"/>
      <c r="B849" s="2"/>
      <c r="C849" s="2"/>
      <c r="D849" s="2"/>
      <c r="E849" s="9"/>
      <c r="F849" s="9"/>
      <c r="G849" s="9"/>
      <c r="H849" s="9"/>
      <c r="I849" s="9"/>
      <c r="J849" s="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</row>
    <row r="850" customFormat="false" ht="15.75" hidden="false" customHeight="true" outlineLevel="0" collapsed="false">
      <c r="A850" s="2"/>
      <c r="B850" s="2"/>
      <c r="C850" s="2"/>
      <c r="D850" s="2"/>
      <c r="E850" s="9"/>
      <c r="F850" s="9"/>
      <c r="G850" s="9"/>
      <c r="H850" s="9"/>
      <c r="I850" s="9"/>
      <c r="J850" s="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</row>
    <row r="851" customFormat="false" ht="15.75" hidden="false" customHeight="true" outlineLevel="0" collapsed="false">
      <c r="A851" s="2"/>
      <c r="B851" s="2"/>
      <c r="C851" s="2"/>
      <c r="D851" s="2"/>
      <c r="E851" s="9"/>
      <c r="F851" s="9"/>
      <c r="G851" s="9"/>
      <c r="H851" s="9"/>
      <c r="I851" s="9"/>
      <c r="J851" s="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</row>
    <row r="852" customFormat="false" ht="15.75" hidden="false" customHeight="true" outlineLevel="0" collapsed="false">
      <c r="A852" s="2"/>
      <c r="B852" s="2"/>
      <c r="C852" s="2"/>
      <c r="D852" s="2"/>
      <c r="E852" s="9"/>
      <c r="F852" s="9"/>
      <c r="G852" s="9"/>
      <c r="H852" s="9"/>
      <c r="I852" s="9"/>
      <c r="J852" s="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</row>
    <row r="853" customFormat="false" ht="15.75" hidden="false" customHeight="true" outlineLevel="0" collapsed="false">
      <c r="A853" s="2"/>
      <c r="B853" s="2"/>
      <c r="C853" s="2"/>
      <c r="D853" s="2"/>
      <c r="E853" s="9"/>
      <c r="F853" s="9"/>
      <c r="G853" s="9"/>
      <c r="H853" s="9"/>
      <c r="I853" s="9"/>
      <c r="J853" s="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</row>
    <row r="854" customFormat="false" ht="15.75" hidden="false" customHeight="true" outlineLevel="0" collapsed="false">
      <c r="A854" s="2"/>
      <c r="B854" s="2"/>
      <c r="C854" s="2"/>
      <c r="D854" s="2"/>
      <c r="E854" s="9"/>
      <c r="F854" s="9"/>
      <c r="G854" s="9"/>
      <c r="H854" s="9"/>
      <c r="I854" s="9"/>
      <c r="J854" s="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</row>
    <row r="855" customFormat="false" ht="15.75" hidden="false" customHeight="true" outlineLevel="0" collapsed="false">
      <c r="A855" s="2"/>
      <c r="B855" s="2"/>
      <c r="C855" s="2"/>
      <c r="D855" s="2"/>
      <c r="E855" s="9"/>
      <c r="F855" s="9"/>
      <c r="G855" s="9"/>
      <c r="H855" s="9"/>
      <c r="I855" s="9"/>
      <c r="J855" s="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</row>
    <row r="856" customFormat="false" ht="15.75" hidden="false" customHeight="true" outlineLevel="0" collapsed="false">
      <c r="A856" s="2"/>
      <c r="B856" s="2"/>
      <c r="C856" s="2"/>
      <c r="D856" s="2"/>
      <c r="E856" s="9"/>
      <c r="F856" s="9"/>
      <c r="G856" s="9"/>
      <c r="H856" s="9"/>
      <c r="I856" s="9"/>
      <c r="J856" s="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</row>
    <row r="857" customFormat="false" ht="15.75" hidden="false" customHeight="true" outlineLevel="0" collapsed="false">
      <c r="A857" s="2"/>
      <c r="B857" s="2"/>
      <c r="C857" s="2"/>
      <c r="D857" s="2"/>
      <c r="E857" s="9"/>
      <c r="F857" s="9"/>
      <c r="G857" s="9"/>
      <c r="H857" s="9"/>
      <c r="I857" s="9"/>
      <c r="J857" s="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</row>
    <row r="858" customFormat="false" ht="15.75" hidden="false" customHeight="true" outlineLevel="0" collapsed="false">
      <c r="A858" s="2"/>
      <c r="B858" s="2"/>
      <c r="C858" s="2"/>
      <c r="D858" s="2"/>
      <c r="E858" s="9"/>
      <c r="F858" s="9"/>
      <c r="G858" s="9"/>
      <c r="H858" s="9"/>
      <c r="I858" s="9"/>
      <c r="J858" s="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</row>
    <row r="859" customFormat="false" ht="15.75" hidden="false" customHeight="true" outlineLevel="0" collapsed="false">
      <c r="A859" s="2"/>
      <c r="B859" s="2"/>
      <c r="C859" s="2"/>
      <c r="D859" s="2"/>
      <c r="E859" s="9"/>
      <c r="F859" s="9"/>
      <c r="G859" s="9"/>
      <c r="H859" s="9"/>
      <c r="I859" s="9"/>
      <c r="J859" s="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</row>
    <row r="860" customFormat="false" ht="15.75" hidden="false" customHeight="true" outlineLevel="0" collapsed="false">
      <c r="A860" s="2"/>
      <c r="B860" s="2"/>
      <c r="C860" s="2"/>
      <c r="D860" s="2"/>
      <c r="E860" s="9"/>
      <c r="F860" s="9"/>
      <c r="G860" s="9"/>
      <c r="H860" s="9"/>
      <c r="I860" s="9"/>
      <c r="J860" s="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</row>
    <row r="861" customFormat="false" ht="15.75" hidden="false" customHeight="true" outlineLevel="0" collapsed="false">
      <c r="A861" s="2"/>
      <c r="B861" s="2"/>
      <c r="C861" s="2"/>
      <c r="D861" s="2"/>
      <c r="E861" s="9"/>
      <c r="F861" s="9"/>
      <c r="G861" s="9"/>
      <c r="H861" s="9"/>
      <c r="I861" s="9"/>
      <c r="J861" s="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</row>
    <row r="862" customFormat="false" ht="15.75" hidden="false" customHeight="true" outlineLevel="0" collapsed="false">
      <c r="A862" s="2"/>
      <c r="B862" s="2"/>
      <c r="C862" s="2"/>
      <c r="D862" s="2"/>
      <c r="E862" s="9"/>
      <c r="F862" s="9"/>
      <c r="G862" s="9"/>
      <c r="H862" s="9"/>
      <c r="I862" s="9"/>
      <c r="J862" s="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</row>
    <row r="863" customFormat="false" ht="15.75" hidden="false" customHeight="true" outlineLevel="0" collapsed="false">
      <c r="A863" s="2"/>
      <c r="B863" s="2"/>
      <c r="C863" s="2"/>
      <c r="D863" s="2"/>
      <c r="E863" s="9"/>
      <c r="F863" s="9"/>
      <c r="G863" s="9"/>
      <c r="H863" s="9"/>
      <c r="I863" s="9"/>
      <c r="J863" s="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</row>
    <row r="864" customFormat="false" ht="15.75" hidden="false" customHeight="true" outlineLevel="0" collapsed="false">
      <c r="A864" s="2"/>
      <c r="B864" s="2"/>
      <c r="C864" s="2"/>
      <c r="D864" s="2"/>
      <c r="E864" s="9"/>
      <c r="F864" s="9"/>
      <c r="G864" s="9"/>
      <c r="H864" s="9"/>
      <c r="I864" s="9"/>
      <c r="J864" s="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</row>
    <row r="865" customFormat="false" ht="15.75" hidden="false" customHeight="true" outlineLevel="0" collapsed="false">
      <c r="A865" s="2"/>
      <c r="B865" s="2"/>
      <c r="C865" s="2"/>
      <c r="D865" s="2"/>
      <c r="E865" s="9"/>
      <c r="F865" s="9"/>
      <c r="G865" s="9"/>
      <c r="H865" s="9"/>
      <c r="I865" s="9"/>
      <c r="J865" s="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</row>
    <row r="866" customFormat="false" ht="15.75" hidden="false" customHeight="true" outlineLevel="0" collapsed="false">
      <c r="A866" s="2"/>
      <c r="B866" s="2"/>
      <c r="C866" s="2"/>
      <c r="D866" s="2"/>
      <c r="E866" s="9"/>
      <c r="F866" s="9"/>
      <c r="G866" s="9"/>
      <c r="H866" s="9"/>
      <c r="I866" s="9"/>
      <c r="J866" s="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</row>
    <row r="867" customFormat="false" ht="15.75" hidden="false" customHeight="true" outlineLevel="0" collapsed="false">
      <c r="A867" s="2"/>
      <c r="B867" s="2"/>
      <c r="C867" s="2"/>
      <c r="D867" s="2"/>
      <c r="E867" s="9"/>
      <c r="F867" s="9"/>
      <c r="G867" s="9"/>
      <c r="H867" s="9"/>
      <c r="I867" s="9"/>
      <c r="J867" s="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</row>
    <row r="868" customFormat="false" ht="15.75" hidden="false" customHeight="true" outlineLevel="0" collapsed="false">
      <c r="A868" s="2"/>
      <c r="B868" s="2"/>
      <c r="C868" s="2"/>
      <c r="D868" s="2"/>
      <c r="E868" s="9"/>
      <c r="F868" s="9"/>
      <c r="G868" s="9"/>
      <c r="H868" s="9"/>
      <c r="I868" s="9"/>
      <c r="J868" s="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</row>
    <row r="869" customFormat="false" ht="15.75" hidden="false" customHeight="true" outlineLevel="0" collapsed="false">
      <c r="A869" s="2"/>
      <c r="B869" s="2"/>
      <c r="C869" s="2"/>
      <c r="D869" s="2"/>
      <c r="E869" s="9"/>
      <c r="F869" s="9"/>
      <c r="G869" s="9"/>
      <c r="H869" s="9"/>
      <c r="I869" s="9"/>
      <c r="J869" s="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</row>
    <row r="870" customFormat="false" ht="15.75" hidden="false" customHeight="true" outlineLevel="0" collapsed="false">
      <c r="A870" s="2"/>
      <c r="B870" s="2"/>
      <c r="C870" s="2"/>
      <c r="D870" s="2"/>
      <c r="E870" s="9"/>
      <c r="F870" s="9"/>
      <c r="G870" s="9"/>
      <c r="H870" s="9"/>
      <c r="I870" s="9"/>
      <c r="J870" s="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</row>
    <row r="871" customFormat="false" ht="15.75" hidden="false" customHeight="true" outlineLevel="0" collapsed="false">
      <c r="A871" s="2"/>
      <c r="B871" s="2"/>
      <c r="C871" s="2"/>
      <c r="D871" s="2"/>
      <c r="E871" s="9"/>
      <c r="F871" s="9"/>
      <c r="G871" s="9"/>
      <c r="H871" s="9"/>
      <c r="I871" s="9"/>
      <c r="J871" s="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</row>
    <row r="872" customFormat="false" ht="15.75" hidden="false" customHeight="true" outlineLevel="0" collapsed="false">
      <c r="A872" s="2"/>
      <c r="B872" s="2"/>
      <c r="C872" s="2"/>
      <c r="D872" s="2"/>
      <c r="E872" s="9"/>
      <c r="F872" s="9"/>
      <c r="G872" s="9"/>
      <c r="H872" s="9"/>
      <c r="I872" s="9"/>
      <c r="J872" s="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</row>
    <row r="873" customFormat="false" ht="15.75" hidden="false" customHeight="true" outlineLevel="0" collapsed="false">
      <c r="A873" s="2"/>
      <c r="B873" s="2"/>
      <c r="C873" s="2"/>
      <c r="D873" s="2"/>
      <c r="E873" s="9"/>
      <c r="F873" s="9"/>
      <c r="G873" s="9"/>
      <c r="H873" s="9"/>
      <c r="I873" s="9"/>
      <c r="J873" s="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</row>
    <row r="874" customFormat="false" ht="15.75" hidden="false" customHeight="true" outlineLevel="0" collapsed="false">
      <c r="A874" s="2"/>
      <c r="B874" s="2"/>
      <c r="C874" s="2"/>
      <c r="D874" s="2"/>
      <c r="E874" s="9"/>
      <c r="F874" s="9"/>
      <c r="G874" s="9"/>
      <c r="H874" s="9"/>
      <c r="I874" s="9"/>
      <c r="J874" s="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</row>
    <row r="875" customFormat="false" ht="15.75" hidden="false" customHeight="true" outlineLevel="0" collapsed="false">
      <c r="A875" s="2"/>
      <c r="B875" s="2"/>
      <c r="C875" s="2"/>
      <c r="D875" s="2"/>
      <c r="E875" s="9"/>
      <c r="F875" s="9"/>
      <c r="G875" s="9"/>
      <c r="H875" s="9"/>
      <c r="I875" s="9"/>
      <c r="J875" s="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</row>
    <row r="876" customFormat="false" ht="15.75" hidden="false" customHeight="true" outlineLevel="0" collapsed="false">
      <c r="A876" s="2"/>
      <c r="B876" s="2"/>
      <c r="C876" s="2"/>
      <c r="D876" s="2"/>
      <c r="E876" s="9"/>
      <c r="F876" s="9"/>
      <c r="G876" s="9"/>
      <c r="H876" s="9"/>
      <c r="I876" s="9"/>
      <c r="J876" s="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</row>
    <row r="877" customFormat="false" ht="15.75" hidden="false" customHeight="true" outlineLevel="0" collapsed="false">
      <c r="A877" s="2"/>
      <c r="B877" s="2"/>
      <c r="C877" s="2"/>
      <c r="D877" s="2"/>
      <c r="E877" s="9"/>
      <c r="F877" s="9"/>
      <c r="G877" s="9"/>
      <c r="H877" s="9"/>
      <c r="I877" s="9"/>
      <c r="J877" s="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</row>
    <row r="878" customFormat="false" ht="15.75" hidden="false" customHeight="true" outlineLevel="0" collapsed="false">
      <c r="A878" s="2"/>
      <c r="B878" s="2"/>
      <c r="C878" s="2"/>
      <c r="D878" s="2"/>
      <c r="E878" s="9"/>
      <c r="F878" s="9"/>
      <c r="G878" s="9"/>
      <c r="H878" s="9"/>
      <c r="I878" s="9"/>
      <c r="J878" s="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</row>
    <row r="879" customFormat="false" ht="15.75" hidden="false" customHeight="true" outlineLevel="0" collapsed="false">
      <c r="A879" s="2"/>
      <c r="B879" s="2"/>
      <c r="C879" s="2"/>
      <c r="D879" s="2"/>
      <c r="E879" s="9"/>
      <c r="F879" s="9"/>
      <c r="G879" s="9"/>
      <c r="H879" s="9"/>
      <c r="I879" s="9"/>
      <c r="J879" s="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</row>
    <row r="880" customFormat="false" ht="15.75" hidden="false" customHeight="true" outlineLevel="0" collapsed="false">
      <c r="A880" s="2"/>
      <c r="B880" s="2"/>
      <c r="C880" s="2"/>
      <c r="D880" s="2"/>
      <c r="E880" s="9"/>
      <c r="F880" s="9"/>
      <c r="G880" s="9"/>
      <c r="H880" s="9"/>
      <c r="I880" s="9"/>
      <c r="J880" s="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</row>
    <row r="881" customFormat="false" ht="15.75" hidden="false" customHeight="true" outlineLevel="0" collapsed="false">
      <c r="A881" s="2"/>
      <c r="B881" s="2"/>
      <c r="C881" s="2"/>
      <c r="D881" s="2"/>
      <c r="E881" s="9"/>
      <c r="F881" s="9"/>
      <c r="G881" s="9"/>
      <c r="H881" s="9"/>
      <c r="I881" s="9"/>
      <c r="J881" s="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</row>
    <row r="882" customFormat="false" ht="15.75" hidden="false" customHeight="true" outlineLevel="0" collapsed="false">
      <c r="A882" s="2"/>
      <c r="B882" s="2"/>
      <c r="C882" s="2"/>
      <c r="D882" s="2"/>
      <c r="E882" s="9"/>
      <c r="F882" s="9"/>
      <c r="G882" s="9"/>
      <c r="H882" s="9"/>
      <c r="I882" s="9"/>
      <c r="J882" s="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</row>
    <row r="883" customFormat="false" ht="15.75" hidden="false" customHeight="true" outlineLevel="0" collapsed="false">
      <c r="A883" s="2"/>
      <c r="B883" s="2"/>
      <c r="C883" s="2"/>
      <c r="D883" s="2"/>
      <c r="E883" s="9"/>
      <c r="F883" s="9"/>
      <c r="G883" s="9"/>
      <c r="H883" s="9"/>
      <c r="I883" s="9"/>
      <c r="J883" s="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</row>
    <row r="884" customFormat="false" ht="15.75" hidden="false" customHeight="true" outlineLevel="0" collapsed="false">
      <c r="A884" s="2"/>
      <c r="B884" s="2"/>
      <c r="C884" s="2"/>
      <c r="D884" s="2"/>
      <c r="E884" s="9"/>
      <c r="F884" s="9"/>
      <c r="G884" s="9"/>
      <c r="H884" s="9"/>
      <c r="I884" s="9"/>
      <c r="J884" s="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</row>
    <row r="885" customFormat="false" ht="15.75" hidden="false" customHeight="true" outlineLevel="0" collapsed="false">
      <c r="A885" s="2"/>
      <c r="B885" s="2"/>
      <c r="C885" s="2"/>
      <c r="D885" s="2"/>
      <c r="E885" s="9"/>
      <c r="F885" s="9"/>
      <c r="G885" s="9"/>
      <c r="H885" s="9"/>
      <c r="I885" s="9"/>
      <c r="J885" s="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</row>
    <row r="886" customFormat="false" ht="15.75" hidden="false" customHeight="true" outlineLevel="0" collapsed="false">
      <c r="A886" s="2"/>
      <c r="B886" s="2"/>
      <c r="C886" s="2"/>
      <c r="D886" s="2"/>
      <c r="E886" s="9"/>
      <c r="F886" s="9"/>
      <c r="G886" s="9"/>
      <c r="H886" s="9"/>
      <c r="I886" s="9"/>
      <c r="J886" s="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</row>
    <row r="887" customFormat="false" ht="15.75" hidden="false" customHeight="true" outlineLevel="0" collapsed="false">
      <c r="A887" s="2"/>
      <c r="B887" s="2"/>
      <c r="C887" s="2"/>
      <c r="D887" s="2"/>
      <c r="E887" s="9"/>
      <c r="F887" s="9"/>
      <c r="G887" s="9"/>
      <c r="H887" s="9"/>
      <c r="I887" s="9"/>
      <c r="J887" s="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</row>
    <row r="888" customFormat="false" ht="15.75" hidden="false" customHeight="true" outlineLevel="0" collapsed="false">
      <c r="A888" s="2"/>
      <c r="B888" s="2"/>
      <c r="C888" s="2"/>
      <c r="D888" s="2"/>
      <c r="E888" s="9"/>
      <c r="F888" s="9"/>
      <c r="G888" s="9"/>
      <c r="H888" s="9"/>
      <c r="I888" s="9"/>
      <c r="J888" s="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</row>
    <row r="889" customFormat="false" ht="15.75" hidden="false" customHeight="true" outlineLevel="0" collapsed="false">
      <c r="A889" s="2"/>
      <c r="B889" s="2"/>
      <c r="C889" s="2"/>
      <c r="D889" s="2"/>
      <c r="E889" s="9"/>
      <c r="F889" s="9"/>
      <c r="G889" s="9"/>
      <c r="H889" s="9"/>
      <c r="I889" s="9"/>
      <c r="J889" s="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</row>
    <row r="890" customFormat="false" ht="15.75" hidden="false" customHeight="true" outlineLevel="0" collapsed="false">
      <c r="A890" s="2"/>
      <c r="B890" s="2"/>
      <c r="C890" s="2"/>
      <c r="D890" s="2"/>
      <c r="E890" s="9"/>
      <c r="F890" s="9"/>
      <c r="G890" s="9"/>
      <c r="H890" s="9"/>
      <c r="I890" s="9"/>
      <c r="J890" s="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</row>
    <row r="891" customFormat="false" ht="15.75" hidden="false" customHeight="true" outlineLevel="0" collapsed="false">
      <c r="A891" s="2"/>
      <c r="B891" s="2"/>
      <c r="C891" s="2"/>
      <c r="D891" s="2"/>
      <c r="E891" s="9"/>
      <c r="F891" s="9"/>
      <c r="G891" s="9"/>
      <c r="H891" s="9"/>
      <c r="I891" s="9"/>
      <c r="J891" s="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</row>
    <row r="892" customFormat="false" ht="15.75" hidden="false" customHeight="true" outlineLevel="0" collapsed="false">
      <c r="A892" s="2"/>
      <c r="B892" s="2"/>
      <c r="C892" s="2"/>
      <c r="D892" s="2"/>
      <c r="E892" s="9"/>
      <c r="F892" s="9"/>
      <c r="G892" s="9"/>
      <c r="H892" s="9"/>
      <c r="I892" s="9"/>
      <c r="J892" s="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</row>
    <row r="893" customFormat="false" ht="15.75" hidden="false" customHeight="true" outlineLevel="0" collapsed="false">
      <c r="A893" s="2"/>
      <c r="B893" s="2"/>
      <c r="C893" s="2"/>
      <c r="D893" s="2"/>
      <c r="E893" s="9"/>
      <c r="F893" s="9"/>
      <c r="G893" s="9"/>
      <c r="H893" s="9"/>
      <c r="I893" s="9"/>
      <c r="J893" s="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</row>
    <row r="894" customFormat="false" ht="15.75" hidden="false" customHeight="true" outlineLevel="0" collapsed="false">
      <c r="A894" s="2"/>
      <c r="B894" s="2"/>
      <c r="C894" s="2"/>
      <c r="D894" s="2"/>
      <c r="E894" s="9"/>
      <c r="F894" s="9"/>
      <c r="G894" s="9"/>
      <c r="H894" s="9"/>
      <c r="I894" s="9"/>
      <c r="J894" s="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</row>
    <row r="895" customFormat="false" ht="15.75" hidden="false" customHeight="true" outlineLevel="0" collapsed="false">
      <c r="A895" s="2"/>
      <c r="B895" s="2"/>
      <c r="C895" s="2"/>
      <c r="D895" s="2"/>
      <c r="E895" s="9"/>
      <c r="F895" s="9"/>
      <c r="G895" s="9"/>
      <c r="H895" s="9"/>
      <c r="I895" s="9"/>
      <c r="J895" s="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</row>
    <row r="896" customFormat="false" ht="15.75" hidden="false" customHeight="true" outlineLevel="0" collapsed="false">
      <c r="A896" s="2"/>
      <c r="B896" s="2"/>
      <c r="C896" s="2"/>
      <c r="D896" s="2"/>
      <c r="E896" s="9"/>
      <c r="F896" s="9"/>
      <c r="G896" s="9"/>
      <c r="H896" s="9"/>
      <c r="I896" s="9"/>
      <c r="J896" s="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</row>
    <row r="897" customFormat="false" ht="15.75" hidden="false" customHeight="true" outlineLevel="0" collapsed="false">
      <c r="A897" s="2"/>
      <c r="B897" s="2"/>
      <c r="C897" s="2"/>
      <c r="D897" s="2"/>
      <c r="E897" s="9"/>
      <c r="F897" s="9"/>
      <c r="G897" s="9"/>
      <c r="H897" s="9"/>
      <c r="I897" s="9"/>
      <c r="J897" s="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</row>
    <row r="898" customFormat="false" ht="15.75" hidden="false" customHeight="true" outlineLevel="0" collapsed="false">
      <c r="A898" s="2"/>
      <c r="B898" s="2"/>
      <c r="C898" s="2"/>
      <c r="D898" s="2"/>
      <c r="E898" s="9"/>
      <c r="F898" s="9"/>
      <c r="G898" s="9"/>
      <c r="H898" s="9"/>
      <c r="I898" s="9"/>
      <c r="J898" s="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</row>
    <row r="899" customFormat="false" ht="15.75" hidden="false" customHeight="true" outlineLevel="0" collapsed="false">
      <c r="A899" s="2"/>
      <c r="B899" s="2"/>
      <c r="C899" s="2"/>
      <c r="D899" s="2"/>
      <c r="E899" s="9"/>
      <c r="F899" s="9"/>
      <c r="G899" s="9"/>
      <c r="H899" s="9"/>
      <c r="I899" s="9"/>
      <c r="J899" s="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</row>
    <row r="900" customFormat="false" ht="15.75" hidden="false" customHeight="true" outlineLevel="0" collapsed="false">
      <c r="A900" s="2"/>
      <c r="B900" s="2"/>
      <c r="C900" s="2"/>
      <c r="D900" s="2"/>
      <c r="E900" s="9"/>
      <c r="F900" s="9"/>
      <c r="G900" s="9"/>
      <c r="H900" s="9"/>
      <c r="I900" s="9"/>
      <c r="J900" s="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</row>
    <row r="901" customFormat="false" ht="15.75" hidden="false" customHeight="true" outlineLevel="0" collapsed="false">
      <c r="A901" s="2"/>
      <c r="B901" s="2"/>
      <c r="C901" s="2"/>
      <c r="D901" s="2"/>
      <c r="E901" s="9"/>
      <c r="F901" s="9"/>
      <c r="G901" s="9"/>
      <c r="H901" s="9"/>
      <c r="I901" s="9"/>
      <c r="J901" s="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</row>
    <row r="902" customFormat="false" ht="15.75" hidden="false" customHeight="true" outlineLevel="0" collapsed="false">
      <c r="A902" s="2"/>
      <c r="B902" s="2"/>
      <c r="C902" s="2"/>
      <c r="D902" s="2"/>
      <c r="E902" s="9"/>
      <c r="F902" s="9"/>
      <c r="G902" s="9"/>
      <c r="H902" s="9"/>
      <c r="I902" s="9"/>
      <c r="J902" s="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</row>
    <row r="903" customFormat="false" ht="15.75" hidden="false" customHeight="true" outlineLevel="0" collapsed="false">
      <c r="A903" s="2"/>
      <c r="B903" s="2"/>
      <c r="C903" s="2"/>
      <c r="D903" s="2"/>
      <c r="E903" s="9"/>
      <c r="F903" s="9"/>
      <c r="G903" s="9"/>
      <c r="H903" s="9"/>
      <c r="I903" s="9"/>
      <c r="J903" s="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</row>
    <row r="904" customFormat="false" ht="15.75" hidden="false" customHeight="true" outlineLevel="0" collapsed="false">
      <c r="A904" s="2"/>
      <c r="B904" s="2"/>
      <c r="C904" s="2"/>
      <c r="D904" s="2"/>
      <c r="E904" s="9"/>
      <c r="F904" s="9"/>
      <c r="G904" s="9"/>
      <c r="H904" s="9"/>
      <c r="I904" s="9"/>
      <c r="J904" s="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</row>
    <row r="905" customFormat="false" ht="15.75" hidden="false" customHeight="true" outlineLevel="0" collapsed="false">
      <c r="A905" s="2"/>
      <c r="B905" s="2"/>
      <c r="C905" s="2"/>
      <c r="D905" s="2"/>
      <c r="E905" s="9"/>
      <c r="F905" s="9"/>
      <c r="G905" s="9"/>
      <c r="H905" s="9"/>
      <c r="I905" s="9"/>
      <c r="J905" s="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</row>
    <row r="906" customFormat="false" ht="15.75" hidden="false" customHeight="true" outlineLevel="0" collapsed="false">
      <c r="A906" s="2"/>
      <c r="B906" s="2"/>
      <c r="C906" s="2"/>
      <c r="D906" s="2"/>
      <c r="E906" s="9"/>
      <c r="F906" s="9"/>
      <c r="G906" s="9"/>
      <c r="H906" s="9"/>
      <c r="I906" s="9"/>
      <c r="J906" s="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</row>
    <row r="907" customFormat="false" ht="15.75" hidden="false" customHeight="true" outlineLevel="0" collapsed="false">
      <c r="A907" s="2"/>
      <c r="B907" s="2"/>
      <c r="C907" s="2"/>
      <c r="D907" s="2"/>
      <c r="E907" s="9"/>
      <c r="F907" s="9"/>
      <c r="G907" s="9"/>
      <c r="H907" s="9"/>
      <c r="I907" s="9"/>
      <c r="J907" s="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</row>
    <row r="908" customFormat="false" ht="15.75" hidden="false" customHeight="true" outlineLevel="0" collapsed="false">
      <c r="A908" s="2"/>
      <c r="B908" s="2"/>
      <c r="C908" s="2"/>
      <c r="D908" s="2"/>
      <c r="E908" s="9"/>
      <c r="F908" s="9"/>
      <c r="G908" s="9"/>
      <c r="H908" s="9"/>
      <c r="I908" s="9"/>
      <c r="J908" s="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</row>
    <row r="909" customFormat="false" ht="15.75" hidden="false" customHeight="true" outlineLevel="0" collapsed="false">
      <c r="A909" s="2"/>
      <c r="B909" s="2"/>
      <c r="C909" s="2"/>
      <c r="D909" s="2"/>
      <c r="E909" s="9"/>
      <c r="F909" s="9"/>
      <c r="G909" s="9"/>
      <c r="H909" s="9"/>
      <c r="I909" s="9"/>
      <c r="J909" s="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</row>
    <row r="910" customFormat="false" ht="15.75" hidden="false" customHeight="true" outlineLevel="0" collapsed="false">
      <c r="A910" s="2"/>
      <c r="B910" s="2"/>
      <c r="C910" s="2"/>
      <c r="D910" s="2"/>
      <c r="E910" s="9"/>
      <c r="F910" s="9"/>
      <c r="G910" s="9"/>
      <c r="H910" s="9"/>
      <c r="I910" s="9"/>
      <c r="J910" s="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</row>
    <row r="911" customFormat="false" ht="15.75" hidden="false" customHeight="true" outlineLevel="0" collapsed="false">
      <c r="A911" s="2"/>
      <c r="B911" s="2"/>
      <c r="C911" s="2"/>
      <c r="D911" s="2"/>
      <c r="E911" s="9"/>
      <c r="F911" s="9"/>
      <c r="G911" s="9"/>
      <c r="H911" s="9"/>
      <c r="I911" s="9"/>
      <c r="J911" s="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</row>
    <row r="912" customFormat="false" ht="15.75" hidden="false" customHeight="true" outlineLevel="0" collapsed="false">
      <c r="A912" s="2"/>
      <c r="B912" s="2"/>
      <c r="C912" s="2"/>
      <c r="D912" s="2"/>
      <c r="E912" s="9"/>
      <c r="F912" s="9"/>
      <c r="G912" s="9"/>
      <c r="H912" s="9"/>
      <c r="I912" s="9"/>
      <c r="J912" s="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</row>
    <row r="913" customFormat="false" ht="15.75" hidden="false" customHeight="true" outlineLevel="0" collapsed="false">
      <c r="A913" s="2"/>
      <c r="B913" s="2"/>
      <c r="C913" s="2"/>
      <c r="D913" s="2"/>
      <c r="E913" s="9"/>
      <c r="F913" s="9"/>
      <c r="G913" s="9"/>
      <c r="H913" s="9"/>
      <c r="I913" s="9"/>
      <c r="J913" s="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</row>
    <row r="914" customFormat="false" ht="15.75" hidden="false" customHeight="true" outlineLevel="0" collapsed="false">
      <c r="A914" s="2"/>
      <c r="B914" s="2"/>
      <c r="C914" s="2"/>
      <c r="D914" s="2"/>
      <c r="E914" s="9"/>
      <c r="F914" s="9"/>
      <c r="G914" s="9"/>
      <c r="H914" s="9"/>
      <c r="I914" s="9"/>
      <c r="J914" s="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</row>
    <row r="915" customFormat="false" ht="15.75" hidden="false" customHeight="true" outlineLevel="0" collapsed="false">
      <c r="A915" s="2"/>
      <c r="B915" s="2"/>
      <c r="C915" s="2"/>
      <c r="D915" s="2"/>
      <c r="E915" s="9"/>
      <c r="F915" s="9"/>
      <c r="G915" s="9"/>
      <c r="H915" s="9"/>
      <c r="I915" s="9"/>
      <c r="J915" s="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</row>
    <row r="916" customFormat="false" ht="15.75" hidden="false" customHeight="true" outlineLevel="0" collapsed="false">
      <c r="A916" s="2"/>
      <c r="B916" s="2"/>
      <c r="C916" s="2"/>
      <c r="D916" s="2"/>
      <c r="E916" s="9"/>
      <c r="F916" s="9"/>
      <c r="G916" s="9"/>
      <c r="H916" s="9"/>
      <c r="I916" s="9"/>
      <c r="J916" s="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</row>
    <row r="917" customFormat="false" ht="15.75" hidden="false" customHeight="true" outlineLevel="0" collapsed="false">
      <c r="A917" s="2"/>
      <c r="B917" s="2"/>
      <c r="C917" s="2"/>
      <c r="D917" s="2"/>
      <c r="E917" s="9"/>
      <c r="F917" s="9"/>
      <c r="G917" s="9"/>
      <c r="H917" s="9"/>
      <c r="I917" s="9"/>
      <c r="J917" s="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</row>
    <row r="918" customFormat="false" ht="15.75" hidden="false" customHeight="true" outlineLevel="0" collapsed="false">
      <c r="A918" s="2"/>
      <c r="B918" s="2"/>
      <c r="C918" s="2"/>
      <c r="D918" s="2"/>
      <c r="E918" s="9"/>
      <c r="F918" s="9"/>
      <c r="G918" s="9"/>
      <c r="H918" s="9"/>
      <c r="I918" s="9"/>
      <c r="J918" s="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</row>
    <row r="919" customFormat="false" ht="15.75" hidden="false" customHeight="true" outlineLevel="0" collapsed="false">
      <c r="A919" s="2"/>
      <c r="B919" s="2"/>
      <c r="C919" s="2"/>
      <c r="D919" s="2"/>
      <c r="E919" s="9"/>
      <c r="F919" s="9"/>
      <c r="G919" s="9"/>
      <c r="H919" s="9"/>
      <c r="I919" s="9"/>
      <c r="J919" s="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</row>
    <row r="920" customFormat="false" ht="15.75" hidden="false" customHeight="true" outlineLevel="0" collapsed="false">
      <c r="A920" s="2"/>
      <c r="B920" s="2"/>
      <c r="C920" s="2"/>
      <c r="D920" s="2"/>
      <c r="E920" s="9"/>
      <c r="F920" s="9"/>
      <c r="G920" s="9"/>
      <c r="H920" s="9"/>
      <c r="I920" s="9"/>
      <c r="J920" s="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</row>
    <row r="921" customFormat="false" ht="15.75" hidden="false" customHeight="true" outlineLevel="0" collapsed="false">
      <c r="A921" s="2"/>
      <c r="B921" s="2"/>
      <c r="C921" s="2"/>
      <c r="D921" s="2"/>
      <c r="E921" s="9"/>
      <c r="F921" s="9"/>
      <c r="G921" s="9"/>
      <c r="H921" s="9"/>
      <c r="I921" s="9"/>
      <c r="J921" s="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</row>
    <row r="922" customFormat="false" ht="15.75" hidden="false" customHeight="true" outlineLevel="0" collapsed="false">
      <c r="A922" s="2"/>
      <c r="B922" s="2"/>
      <c r="C922" s="2"/>
      <c r="D922" s="2"/>
      <c r="E922" s="9"/>
      <c r="F922" s="9"/>
      <c r="G922" s="9"/>
      <c r="H922" s="9"/>
      <c r="I922" s="9"/>
      <c r="J922" s="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</row>
    <row r="923" customFormat="false" ht="15.75" hidden="false" customHeight="true" outlineLevel="0" collapsed="false">
      <c r="A923" s="2"/>
      <c r="B923" s="2"/>
      <c r="C923" s="2"/>
      <c r="D923" s="2"/>
      <c r="E923" s="9"/>
      <c r="F923" s="9"/>
      <c r="G923" s="9"/>
      <c r="H923" s="9"/>
      <c r="I923" s="9"/>
      <c r="J923" s="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</row>
    <row r="924" customFormat="false" ht="15.75" hidden="false" customHeight="true" outlineLevel="0" collapsed="false">
      <c r="A924" s="2"/>
      <c r="B924" s="2"/>
      <c r="C924" s="2"/>
      <c r="D924" s="2"/>
      <c r="E924" s="9"/>
      <c r="F924" s="9"/>
      <c r="G924" s="9"/>
      <c r="H924" s="9"/>
      <c r="I924" s="9"/>
      <c r="J924" s="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</row>
    <row r="925" customFormat="false" ht="15.75" hidden="false" customHeight="true" outlineLevel="0" collapsed="false">
      <c r="A925" s="2"/>
      <c r="B925" s="2"/>
      <c r="C925" s="2"/>
      <c r="D925" s="2"/>
      <c r="E925" s="9"/>
      <c r="F925" s="9"/>
      <c r="G925" s="9"/>
      <c r="H925" s="9"/>
      <c r="I925" s="9"/>
      <c r="J925" s="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</row>
    <row r="926" customFormat="false" ht="15.75" hidden="false" customHeight="true" outlineLevel="0" collapsed="false">
      <c r="A926" s="2"/>
      <c r="B926" s="2"/>
      <c r="C926" s="2"/>
      <c r="D926" s="2"/>
      <c r="E926" s="9"/>
      <c r="F926" s="9"/>
      <c r="G926" s="9"/>
      <c r="H926" s="9"/>
      <c r="I926" s="9"/>
      <c r="J926" s="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</row>
    <row r="927" customFormat="false" ht="15.75" hidden="false" customHeight="true" outlineLevel="0" collapsed="false">
      <c r="A927" s="2"/>
      <c r="B927" s="2"/>
      <c r="C927" s="2"/>
      <c r="D927" s="2"/>
      <c r="E927" s="9"/>
      <c r="F927" s="9"/>
      <c r="G927" s="9"/>
      <c r="H927" s="9"/>
      <c r="I927" s="9"/>
      <c r="J927" s="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</row>
    <row r="928" customFormat="false" ht="15.75" hidden="false" customHeight="true" outlineLevel="0" collapsed="false">
      <c r="A928" s="2"/>
      <c r="B928" s="2"/>
      <c r="C928" s="2"/>
      <c r="D928" s="2"/>
      <c r="E928" s="9"/>
      <c r="F928" s="9"/>
      <c r="G928" s="9"/>
      <c r="H928" s="9"/>
      <c r="I928" s="9"/>
      <c r="J928" s="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</row>
    <row r="929" customFormat="false" ht="15.75" hidden="false" customHeight="true" outlineLevel="0" collapsed="false">
      <c r="A929" s="2"/>
      <c r="B929" s="2"/>
      <c r="C929" s="2"/>
      <c r="D929" s="2"/>
      <c r="E929" s="9"/>
      <c r="F929" s="9"/>
      <c r="G929" s="9"/>
      <c r="H929" s="9"/>
      <c r="I929" s="9"/>
      <c r="J929" s="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</row>
    <row r="930" customFormat="false" ht="15.75" hidden="false" customHeight="true" outlineLevel="0" collapsed="false">
      <c r="A930" s="2"/>
      <c r="B930" s="2"/>
      <c r="C930" s="2"/>
      <c r="D930" s="2"/>
      <c r="E930" s="9"/>
      <c r="F930" s="9"/>
      <c r="G930" s="9"/>
      <c r="H930" s="9"/>
      <c r="I930" s="9"/>
      <c r="J930" s="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</row>
    <row r="931" customFormat="false" ht="15.75" hidden="false" customHeight="true" outlineLevel="0" collapsed="false">
      <c r="A931" s="2"/>
      <c r="B931" s="2"/>
      <c r="C931" s="2"/>
      <c r="D931" s="2"/>
      <c r="E931" s="9"/>
      <c r="F931" s="9"/>
      <c r="G931" s="9"/>
      <c r="H931" s="9"/>
      <c r="I931" s="9"/>
      <c r="J931" s="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</row>
    <row r="932" customFormat="false" ht="15.75" hidden="false" customHeight="true" outlineLevel="0" collapsed="false">
      <c r="A932" s="2"/>
      <c r="B932" s="2"/>
      <c r="C932" s="2"/>
      <c r="D932" s="2"/>
      <c r="E932" s="9"/>
      <c r="F932" s="9"/>
      <c r="G932" s="9"/>
      <c r="H932" s="9"/>
      <c r="I932" s="9"/>
      <c r="J932" s="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</row>
    <row r="933" customFormat="false" ht="15.75" hidden="false" customHeight="true" outlineLevel="0" collapsed="false">
      <c r="A933" s="2"/>
      <c r="B933" s="2"/>
      <c r="C933" s="2"/>
      <c r="D933" s="2"/>
      <c r="E933" s="9"/>
      <c r="F933" s="9"/>
      <c r="G933" s="9"/>
      <c r="H933" s="9"/>
      <c r="I933" s="9"/>
      <c r="J933" s="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</row>
    <row r="934" customFormat="false" ht="15.75" hidden="false" customHeight="true" outlineLevel="0" collapsed="false">
      <c r="A934" s="2"/>
      <c r="B934" s="2"/>
      <c r="C934" s="2"/>
      <c r="D934" s="2"/>
      <c r="E934" s="9"/>
      <c r="F934" s="9"/>
      <c r="G934" s="9"/>
      <c r="H934" s="9"/>
      <c r="I934" s="9"/>
      <c r="J934" s="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</row>
    <row r="935" customFormat="false" ht="15.75" hidden="false" customHeight="true" outlineLevel="0" collapsed="false">
      <c r="A935" s="2"/>
      <c r="B935" s="2"/>
      <c r="C935" s="2"/>
      <c r="D935" s="2"/>
      <c r="E935" s="9"/>
      <c r="F935" s="9"/>
      <c r="G935" s="9"/>
      <c r="H935" s="9"/>
      <c r="I935" s="9"/>
      <c r="J935" s="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</row>
    <row r="936" customFormat="false" ht="15.75" hidden="false" customHeight="true" outlineLevel="0" collapsed="false">
      <c r="A936" s="2"/>
      <c r="B936" s="2"/>
      <c r="C936" s="2"/>
      <c r="D936" s="2"/>
      <c r="E936" s="9"/>
      <c r="F936" s="9"/>
      <c r="G936" s="9"/>
      <c r="H936" s="9"/>
      <c r="I936" s="9"/>
      <c r="J936" s="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</row>
    <row r="937" customFormat="false" ht="15.75" hidden="false" customHeight="true" outlineLevel="0" collapsed="false">
      <c r="A937" s="2"/>
      <c r="B937" s="2"/>
      <c r="C937" s="2"/>
      <c r="D937" s="2"/>
      <c r="E937" s="9"/>
      <c r="F937" s="9"/>
      <c r="G937" s="9"/>
      <c r="H937" s="9"/>
      <c r="I937" s="9"/>
      <c r="J937" s="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</row>
    <row r="938" customFormat="false" ht="15.75" hidden="false" customHeight="true" outlineLevel="0" collapsed="false">
      <c r="A938" s="2"/>
      <c r="B938" s="2"/>
      <c r="C938" s="2"/>
      <c r="D938" s="2"/>
      <c r="E938" s="9"/>
      <c r="F938" s="9"/>
      <c r="G938" s="9"/>
      <c r="H938" s="9"/>
      <c r="I938" s="9"/>
      <c r="J938" s="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</row>
    <row r="939" customFormat="false" ht="15.75" hidden="false" customHeight="true" outlineLevel="0" collapsed="false">
      <c r="A939" s="2"/>
      <c r="B939" s="2"/>
      <c r="C939" s="2"/>
      <c r="D939" s="2"/>
      <c r="E939" s="9"/>
      <c r="F939" s="9"/>
      <c r="G939" s="9"/>
      <c r="H939" s="9"/>
      <c r="I939" s="9"/>
      <c r="J939" s="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</row>
    <row r="940" customFormat="false" ht="15.75" hidden="false" customHeight="true" outlineLevel="0" collapsed="false">
      <c r="A940" s="2"/>
      <c r="B940" s="2"/>
      <c r="C940" s="2"/>
      <c r="D940" s="2"/>
      <c r="E940" s="9"/>
      <c r="F940" s="9"/>
      <c r="G940" s="9"/>
      <c r="H940" s="9"/>
      <c r="I940" s="9"/>
      <c r="J940" s="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</row>
    <row r="941" customFormat="false" ht="15.75" hidden="false" customHeight="true" outlineLevel="0" collapsed="false">
      <c r="A941" s="2"/>
      <c r="B941" s="2"/>
      <c r="C941" s="2"/>
      <c r="D941" s="2"/>
      <c r="E941" s="9"/>
      <c r="F941" s="9"/>
      <c r="G941" s="9"/>
      <c r="H941" s="9"/>
      <c r="I941" s="9"/>
      <c r="J941" s="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</row>
    <row r="942" customFormat="false" ht="15.75" hidden="false" customHeight="true" outlineLevel="0" collapsed="false">
      <c r="A942" s="2"/>
      <c r="B942" s="2"/>
      <c r="C942" s="2"/>
      <c r="D942" s="2"/>
      <c r="E942" s="9"/>
      <c r="F942" s="9"/>
      <c r="G942" s="9"/>
      <c r="H942" s="9"/>
      <c r="I942" s="9"/>
      <c r="J942" s="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</row>
    <row r="943" customFormat="false" ht="15.75" hidden="false" customHeight="true" outlineLevel="0" collapsed="false">
      <c r="A943" s="2"/>
      <c r="B943" s="2"/>
      <c r="C943" s="2"/>
      <c r="D943" s="2"/>
      <c r="E943" s="9"/>
      <c r="F943" s="9"/>
      <c r="G943" s="9"/>
      <c r="H943" s="9"/>
      <c r="I943" s="9"/>
      <c r="J943" s="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</row>
    <row r="944" customFormat="false" ht="15.75" hidden="false" customHeight="true" outlineLevel="0" collapsed="false">
      <c r="A944" s="2"/>
      <c r="B944" s="2"/>
      <c r="C944" s="2"/>
      <c r="D944" s="2"/>
      <c r="E944" s="9"/>
      <c r="F944" s="9"/>
      <c r="G944" s="9"/>
      <c r="H944" s="9"/>
      <c r="I944" s="9"/>
      <c r="J944" s="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</row>
    <row r="945" customFormat="false" ht="15.75" hidden="false" customHeight="true" outlineLevel="0" collapsed="false">
      <c r="A945" s="2"/>
      <c r="B945" s="2"/>
      <c r="C945" s="2"/>
      <c r="D945" s="2"/>
      <c r="E945" s="9"/>
      <c r="F945" s="9"/>
      <c r="G945" s="9"/>
      <c r="H945" s="9"/>
      <c r="I945" s="9"/>
      <c r="J945" s="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</row>
    <row r="946" customFormat="false" ht="15.75" hidden="false" customHeight="true" outlineLevel="0" collapsed="false">
      <c r="A946" s="2"/>
      <c r="B946" s="2"/>
      <c r="C946" s="2"/>
      <c r="D946" s="2"/>
      <c r="E946" s="9"/>
      <c r="F946" s="9"/>
      <c r="G946" s="9"/>
      <c r="H946" s="9"/>
      <c r="I946" s="9"/>
      <c r="J946" s="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</row>
    <row r="947" customFormat="false" ht="15.75" hidden="false" customHeight="true" outlineLevel="0" collapsed="false">
      <c r="A947" s="2"/>
      <c r="B947" s="2"/>
      <c r="C947" s="2"/>
      <c r="D947" s="2"/>
      <c r="E947" s="9"/>
      <c r="F947" s="9"/>
      <c r="G947" s="9"/>
      <c r="H947" s="9"/>
      <c r="I947" s="9"/>
      <c r="J947" s="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</row>
    <row r="948" customFormat="false" ht="15.75" hidden="false" customHeight="true" outlineLevel="0" collapsed="false">
      <c r="A948" s="2"/>
      <c r="B948" s="2"/>
      <c r="C948" s="2"/>
      <c r="D948" s="2"/>
      <c r="E948" s="9"/>
      <c r="F948" s="9"/>
      <c r="G948" s="9"/>
      <c r="H948" s="9"/>
      <c r="I948" s="9"/>
      <c r="J948" s="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</row>
    <row r="949" customFormat="false" ht="15.75" hidden="false" customHeight="true" outlineLevel="0" collapsed="false">
      <c r="A949" s="2"/>
      <c r="B949" s="2"/>
      <c r="C949" s="2"/>
      <c r="D949" s="2"/>
      <c r="E949" s="9"/>
      <c r="F949" s="9"/>
      <c r="G949" s="9"/>
      <c r="H949" s="9"/>
      <c r="I949" s="9"/>
      <c r="J949" s="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</row>
    <row r="950" customFormat="false" ht="15.75" hidden="false" customHeight="true" outlineLevel="0" collapsed="false">
      <c r="A950" s="2"/>
      <c r="B950" s="2"/>
      <c r="C950" s="2"/>
      <c r="D950" s="2"/>
      <c r="E950" s="9"/>
      <c r="F950" s="9"/>
      <c r="G950" s="9"/>
      <c r="H950" s="9"/>
      <c r="I950" s="9"/>
      <c r="J950" s="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</row>
    <row r="951" customFormat="false" ht="15.75" hidden="false" customHeight="true" outlineLevel="0" collapsed="false">
      <c r="A951" s="2"/>
      <c r="B951" s="2"/>
      <c r="C951" s="2"/>
      <c r="D951" s="2"/>
      <c r="E951" s="9"/>
      <c r="F951" s="9"/>
      <c r="G951" s="9"/>
      <c r="H951" s="9"/>
      <c r="I951" s="9"/>
      <c r="J951" s="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</row>
    <row r="952" customFormat="false" ht="15.75" hidden="false" customHeight="true" outlineLevel="0" collapsed="false">
      <c r="A952" s="2"/>
      <c r="B952" s="2"/>
      <c r="C952" s="2"/>
      <c r="D952" s="2"/>
      <c r="E952" s="9"/>
      <c r="F952" s="9"/>
      <c r="G952" s="9"/>
      <c r="H952" s="9"/>
      <c r="I952" s="9"/>
      <c r="J952" s="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</row>
    <row r="953" customFormat="false" ht="15.75" hidden="false" customHeight="true" outlineLevel="0" collapsed="false">
      <c r="A953" s="2"/>
      <c r="B953" s="2"/>
      <c r="C953" s="2"/>
      <c r="D953" s="2"/>
      <c r="E953" s="9"/>
      <c r="F953" s="9"/>
      <c r="G953" s="9"/>
      <c r="H953" s="9"/>
      <c r="I953" s="9"/>
      <c r="J953" s="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</row>
    <row r="954" customFormat="false" ht="15.75" hidden="false" customHeight="true" outlineLevel="0" collapsed="false">
      <c r="A954" s="2"/>
      <c r="B954" s="2"/>
      <c r="C954" s="2"/>
      <c r="D954" s="2"/>
      <c r="E954" s="9"/>
      <c r="F954" s="9"/>
      <c r="G954" s="9"/>
      <c r="H954" s="9"/>
      <c r="I954" s="9"/>
      <c r="J954" s="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</row>
    <row r="955" customFormat="false" ht="15.75" hidden="false" customHeight="true" outlineLevel="0" collapsed="false">
      <c r="A955" s="2"/>
      <c r="B955" s="2"/>
      <c r="C955" s="2"/>
      <c r="D955" s="2"/>
      <c r="E955" s="9"/>
      <c r="F955" s="9"/>
      <c r="G955" s="9"/>
      <c r="H955" s="9"/>
      <c r="I955" s="9"/>
      <c r="J955" s="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</row>
    <row r="956" customFormat="false" ht="15.75" hidden="false" customHeight="true" outlineLevel="0" collapsed="false">
      <c r="A956" s="2"/>
      <c r="B956" s="2"/>
      <c r="C956" s="2"/>
      <c r="D956" s="2"/>
      <c r="E956" s="9"/>
      <c r="F956" s="9"/>
      <c r="G956" s="9"/>
      <c r="H956" s="9"/>
      <c r="I956" s="9"/>
      <c r="J956" s="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</row>
    <row r="957" customFormat="false" ht="15.75" hidden="false" customHeight="true" outlineLevel="0" collapsed="false">
      <c r="A957" s="2"/>
      <c r="B957" s="2"/>
      <c r="C957" s="2"/>
      <c r="D957" s="2"/>
      <c r="E957" s="9"/>
      <c r="F957" s="9"/>
      <c r="G957" s="9"/>
      <c r="H957" s="9"/>
      <c r="I957" s="9"/>
      <c r="J957" s="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</row>
    <row r="958" customFormat="false" ht="15.75" hidden="false" customHeight="true" outlineLevel="0" collapsed="false">
      <c r="A958" s="2"/>
      <c r="B958" s="2"/>
      <c r="C958" s="2"/>
      <c r="D958" s="2"/>
      <c r="E958" s="9"/>
      <c r="F958" s="9"/>
      <c r="G958" s="9"/>
      <c r="H958" s="9"/>
      <c r="I958" s="9"/>
      <c r="J958" s="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</row>
    <row r="959" customFormat="false" ht="15.75" hidden="false" customHeight="true" outlineLevel="0" collapsed="false">
      <c r="A959" s="2"/>
      <c r="B959" s="2"/>
      <c r="C959" s="2"/>
      <c r="D959" s="2"/>
      <c r="E959" s="9"/>
      <c r="F959" s="9"/>
      <c r="G959" s="9"/>
      <c r="H959" s="9"/>
      <c r="I959" s="9"/>
      <c r="J959" s="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</row>
    <row r="960" customFormat="false" ht="15.75" hidden="false" customHeight="true" outlineLevel="0" collapsed="false">
      <c r="A960" s="2"/>
      <c r="B960" s="2"/>
      <c r="C960" s="2"/>
      <c r="D960" s="2"/>
      <c r="E960" s="9"/>
      <c r="F960" s="9"/>
      <c r="G960" s="9"/>
      <c r="H960" s="9"/>
      <c r="I960" s="9"/>
      <c r="J960" s="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</row>
    <row r="961" customFormat="false" ht="15.75" hidden="false" customHeight="true" outlineLevel="0" collapsed="false">
      <c r="A961" s="2"/>
      <c r="B961" s="2"/>
      <c r="C961" s="2"/>
      <c r="D961" s="2"/>
      <c r="E961" s="9"/>
      <c r="F961" s="9"/>
      <c r="G961" s="9"/>
      <c r="H961" s="9"/>
      <c r="I961" s="9"/>
      <c r="J961" s="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</row>
    <row r="962" customFormat="false" ht="15.75" hidden="false" customHeight="true" outlineLevel="0" collapsed="false">
      <c r="A962" s="2"/>
      <c r="B962" s="2"/>
      <c r="C962" s="2"/>
      <c r="D962" s="2"/>
      <c r="E962" s="9"/>
      <c r="F962" s="9"/>
      <c r="G962" s="9"/>
      <c r="H962" s="9"/>
      <c r="I962" s="9"/>
      <c r="J962" s="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</row>
    <row r="963" customFormat="false" ht="15.75" hidden="false" customHeight="true" outlineLevel="0" collapsed="false">
      <c r="A963" s="2"/>
      <c r="B963" s="2"/>
      <c r="C963" s="2"/>
      <c r="D963" s="2"/>
      <c r="E963" s="9"/>
      <c r="F963" s="9"/>
      <c r="G963" s="9"/>
      <c r="H963" s="9"/>
      <c r="I963" s="9"/>
      <c r="J963" s="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</row>
    <row r="964" customFormat="false" ht="15.75" hidden="false" customHeight="true" outlineLevel="0" collapsed="false">
      <c r="A964" s="2"/>
      <c r="B964" s="2"/>
      <c r="C964" s="2"/>
      <c r="D964" s="2"/>
      <c r="E964" s="9"/>
      <c r="F964" s="9"/>
      <c r="G964" s="9"/>
      <c r="H964" s="9"/>
      <c r="I964" s="9"/>
      <c r="J964" s="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</row>
    <row r="965" customFormat="false" ht="15.75" hidden="false" customHeight="true" outlineLevel="0" collapsed="false">
      <c r="A965" s="2"/>
      <c r="B965" s="2"/>
      <c r="C965" s="2"/>
      <c r="D965" s="2"/>
      <c r="E965" s="9"/>
      <c r="F965" s="9"/>
      <c r="G965" s="9"/>
      <c r="H965" s="9"/>
      <c r="I965" s="9"/>
      <c r="J965" s="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</row>
    <row r="966" customFormat="false" ht="15.75" hidden="false" customHeight="true" outlineLevel="0" collapsed="false">
      <c r="A966" s="2"/>
      <c r="B966" s="2"/>
      <c r="C966" s="2"/>
      <c r="D966" s="2"/>
      <c r="E966" s="9"/>
      <c r="F966" s="9"/>
      <c r="G966" s="9"/>
      <c r="H966" s="9"/>
      <c r="I966" s="9"/>
      <c r="J966" s="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</row>
    <row r="967" customFormat="false" ht="15.75" hidden="false" customHeight="true" outlineLevel="0" collapsed="false">
      <c r="A967" s="2"/>
      <c r="B967" s="2"/>
      <c r="C967" s="2"/>
      <c r="D967" s="2"/>
      <c r="E967" s="9"/>
      <c r="F967" s="9"/>
      <c r="G967" s="9"/>
      <c r="H967" s="9"/>
      <c r="I967" s="9"/>
      <c r="J967" s="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</row>
    <row r="968" customFormat="false" ht="15.75" hidden="false" customHeight="true" outlineLevel="0" collapsed="false">
      <c r="A968" s="2"/>
      <c r="B968" s="2"/>
      <c r="C968" s="2"/>
      <c r="D968" s="2"/>
      <c r="E968" s="9"/>
      <c r="F968" s="9"/>
      <c r="G968" s="9"/>
      <c r="H968" s="9"/>
      <c r="I968" s="9"/>
      <c r="J968" s="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</row>
    <row r="969" customFormat="false" ht="15.75" hidden="false" customHeight="true" outlineLevel="0" collapsed="false">
      <c r="A969" s="2"/>
      <c r="B969" s="2"/>
      <c r="C969" s="2"/>
      <c r="D969" s="2"/>
      <c r="E969" s="9"/>
      <c r="F969" s="9"/>
      <c r="G969" s="9"/>
      <c r="H969" s="9"/>
      <c r="I969" s="9"/>
      <c r="J969" s="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</row>
    <row r="970" customFormat="false" ht="15.75" hidden="false" customHeight="true" outlineLevel="0" collapsed="false">
      <c r="A970" s="2"/>
      <c r="B970" s="2"/>
      <c r="C970" s="2"/>
      <c r="D970" s="2"/>
      <c r="E970" s="9"/>
      <c r="F970" s="9"/>
      <c r="G970" s="9"/>
      <c r="H970" s="9"/>
      <c r="I970" s="9"/>
      <c r="J970" s="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</row>
    <row r="971" customFormat="false" ht="15.75" hidden="false" customHeight="true" outlineLevel="0" collapsed="false">
      <c r="A971" s="2"/>
      <c r="B971" s="2"/>
      <c r="C971" s="2"/>
      <c r="D971" s="2"/>
      <c r="E971" s="9"/>
      <c r="F971" s="9"/>
      <c r="G971" s="9"/>
      <c r="H971" s="9"/>
      <c r="I971" s="9"/>
      <c r="J971" s="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</row>
    <row r="972" customFormat="false" ht="15.75" hidden="false" customHeight="true" outlineLevel="0" collapsed="false">
      <c r="A972" s="2"/>
      <c r="B972" s="2"/>
      <c r="C972" s="2"/>
      <c r="D972" s="2"/>
      <c r="E972" s="9"/>
      <c r="F972" s="9"/>
      <c r="G972" s="9"/>
      <c r="H972" s="9"/>
      <c r="I972" s="9"/>
      <c r="J972" s="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</row>
    <row r="973" customFormat="false" ht="15.75" hidden="false" customHeight="true" outlineLevel="0" collapsed="false">
      <c r="A973" s="2"/>
      <c r="B973" s="2"/>
      <c r="C973" s="2"/>
      <c r="D973" s="2"/>
      <c r="E973" s="9"/>
      <c r="F973" s="9"/>
      <c r="G973" s="9"/>
      <c r="H973" s="9"/>
      <c r="I973" s="9"/>
      <c r="J973" s="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</row>
    <row r="974" customFormat="false" ht="15.75" hidden="false" customHeight="true" outlineLevel="0" collapsed="false">
      <c r="A974" s="2"/>
      <c r="B974" s="2"/>
      <c r="C974" s="2"/>
      <c r="D974" s="2"/>
      <c r="E974" s="9"/>
      <c r="F974" s="9"/>
      <c r="G974" s="9"/>
      <c r="H974" s="9"/>
      <c r="I974" s="9"/>
      <c r="J974" s="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</row>
    <row r="975" customFormat="false" ht="15.75" hidden="false" customHeight="true" outlineLevel="0" collapsed="false">
      <c r="A975" s="2"/>
      <c r="B975" s="2"/>
      <c r="C975" s="2"/>
      <c r="D975" s="2"/>
      <c r="E975" s="9"/>
      <c r="F975" s="9"/>
      <c r="G975" s="9"/>
      <c r="H975" s="9"/>
      <c r="I975" s="9"/>
      <c r="J975" s="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</row>
    <row r="976" customFormat="false" ht="15.75" hidden="false" customHeight="true" outlineLevel="0" collapsed="false">
      <c r="A976" s="2"/>
      <c r="B976" s="2"/>
      <c r="C976" s="2"/>
      <c r="D976" s="2"/>
      <c r="E976" s="9"/>
      <c r="F976" s="9"/>
      <c r="G976" s="9"/>
      <c r="H976" s="9"/>
      <c r="I976" s="9"/>
      <c r="J976" s="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</row>
    <row r="977" customFormat="false" ht="15.75" hidden="false" customHeight="true" outlineLevel="0" collapsed="false">
      <c r="A977" s="2"/>
      <c r="B977" s="2"/>
      <c r="C977" s="2"/>
      <c r="D977" s="2"/>
      <c r="E977" s="9"/>
      <c r="F977" s="9"/>
      <c r="G977" s="9"/>
      <c r="H977" s="9"/>
      <c r="I977" s="9"/>
      <c r="J977" s="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</row>
    <row r="978" customFormat="false" ht="15.75" hidden="false" customHeight="true" outlineLevel="0" collapsed="false">
      <c r="A978" s="2"/>
      <c r="B978" s="2"/>
      <c r="C978" s="2"/>
      <c r="D978" s="2"/>
      <c r="E978" s="9"/>
      <c r="F978" s="9"/>
      <c r="G978" s="9"/>
      <c r="H978" s="9"/>
      <c r="I978" s="9"/>
      <c r="J978" s="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</row>
    <row r="979" customFormat="false" ht="15.75" hidden="false" customHeight="true" outlineLevel="0" collapsed="false">
      <c r="A979" s="2"/>
      <c r="B979" s="2"/>
      <c r="C979" s="2"/>
      <c r="D979" s="2"/>
      <c r="E979" s="9"/>
      <c r="F979" s="9"/>
      <c r="G979" s="9"/>
      <c r="H979" s="9"/>
      <c r="I979" s="9"/>
      <c r="J979" s="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</row>
    <row r="980" customFormat="false" ht="15.75" hidden="false" customHeight="true" outlineLevel="0" collapsed="false">
      <c r="A980" s="2"/>
      <c r="B980" s="2"/>
      <c r="C980" s="2"/>
      <c r="D980" s="2"/>
      <c r="E980" s="9"/>
      <c r="F980" s="9"/>
      <c r="G980" s="9"/>
      <c r="H980" s="9"/>
      <c r="I980" s="9"/>
      <c r="J980" s="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</row>
    <row r="981" customFormat="false" ht="15.75" hidden="false" customHeight="true" outlineLevel="0" collapsed="false">
      <c r="A981" s="2"/>
      <c r="B981" s="2"/>
      <c r="C981" s="2"/>
      <c r="D981" s="2"/>
      <c r="E981" s="9"/>
      <c r="F981" s="9"/>
      <c r="G981" s="9"/>
      <c r="H981" s="9"/>
      <c r="I981" s="9"/>
      <c r="J981" s="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</row>
    <row r="982" customFormat="false" ht="15.75" hidden="false" customHeight="true" outlineLevel="0" collapsed="false">
      <c r="A982" s="2"/>
      <c r="B982" s="2"/>
      <c r="C982" s="2"/>
      <c r="D982" s="2"/>
      <c r="E982" s="9"/>
      <c r="F982" s="9"/>
      <c r="G982" s="9"/>
      <c r="H982" s="9"/>
      <c r="I982" s="9"/>
      <c r="J982" s="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</row>
    <row r="983" customFormat="false" ht="15.75" hidden="false" customHeight="true" outlineLevel="0" collapsed="false">
      <c r="A983" s="2"/>
      <c r="B983" s="2"/>
      <c r="C983" s="2"/>
      <c r="D983" s="2"/>
      <c r="E983" s="9"/>
      <c r="F983" s="9"/>
      <c r="G983" s="9"/>
      <c r="H983" s="9"/>
      <c r="I983" s="9"/>
      <c r="J983" s="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</row>
    <row r="984" customFormat="false" ht="15.75" hidden="false" customHeight="true" outlineLevel="0" collapsed="false">
      <c r="A984" s="2"/>
      <c r="B984" s="2"/>
      <c r="C984" s="2"/>
      <c r="D984" s="2"/>
      <c r="E984" s="9"/>
      <c r="F984" s="9"/>
      <c r="G984" s="9"/>
      <c r="H984" s="9"/>
      <c r="I984" s="9"/>
      <c r="J984" s="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</row>
    <row r="985" customFormat="false" ht="15.75" hidden="false" customHeight="true" outlineLevel="0" collapsed="false">
      <c r="A985" s="2"/>
      <c r="B985" s="2"/>
      <c r="C985" s="2"/>
      <c r="D985" s="2"/>
      <c r="E985" s="9"/>
      <c r="F985" s="9"/>
      <c r="G985" s="9"/>
      <c r="H985" s="9"/>
      <c r="I985" s="9"/>
      <c r="J985" s="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</row>
    <row r="986" customFormat="false" ht="15.75" hidden="false" customHeight="true" outlineLevel="0" collapsed="false">
      <c r="A986" s="2"/>
      <c r="B986" s="2"/>
      <c r="C986" s="2"/>
      <c r="D986" s="2"/>
      <c r="E986" s="9"/>
      <c r="F986" s="9"/>
      <c r="G986" s="9"/>
      <c r="H986" s="9"/>
      <c r="I986" s="9"/>
      <c r="J986" s="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</row>
    <row r="987" customFormat="false" ht="15.75" hidden="false" customHeight="true" outlineLevel="0" collapsed="false">
      <c r="A987" s="2"/>
      <c r="B987" s="2"/>
      <c r="C987" s="2"/>
      <c r="D987" s="2"/>
      <c r="E987" s="9"/>
      <c r="F987" s="9"/>
      <c r="G987" s="9"/>
      <c r="H987" s="9"/>
      <c r="I987" s="9"/>
      <c r="J987" s="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</row>
    <row r="988" customFormat="false" ht="15.75" hidden="false" customHeight="true" outlineLevel="0" collapsed="false">
      <c r="A988" s="2"/>
      <c r="B988" s="2"/>
      <c r="C988" s="2"/>
      <c r="D988" s="2"/>
      <c r="E988" s="9"/>
      <c r="F988" s="9"/>
      <c r="G988" s="9"/>
      <c r="H988" s="9"/>
      <c r="I988" s="9"/>
      <c r="J988" s="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</row>
    <row r="989" customFormat="false" ht="15.75" hidden="false" customHeight="true" outlineLevel="0" collapsed="false">
      <c r="A989" s="2"/>
      <c r="B989" s="2"/>
      <c r="C989" s="2"/>
      <c r="D989" s="2"/>
      <c r="E989" s="9"/>
      <c r="F989" s="9"/>
      <c r="G989" s="9"/>
      <c r="H989" s="9"/>
      <c r="I989" s="9"/>
      <c r="J989" s="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</row>
    <row r="990" customFormat="false" ht="15.75" hidden="false" customHeight="true" outlineLevel="0" collapsed="false">
      <c r="A990" s="2"/>
      <c r="B990" s="2"/>
      <c r="C990" s="2"/>
      <c r="D990" s="2"/>
      <c r="E990" s="9"/>
      <c r="F990" s="9"/>
      <c r="G990" s="9"/>
      <c r="H990" s="9"/>
      <c r="I990" s="9"/>
      <c r="J990" s="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</row>
    <row r="991" customFormat="false" ht="15.75" hidden="false" customHeight="true" outlineLevel="0" collapsed="false">
      <c r="A991" s="2"/>
      <c r="B991" s="2"/>
      <c r="C991" s="2"/>
      <c r="D991" s="2"/>
      <c r="E991" s="9"/>
      <c r="F991" s="9"/>
      <c r="G991" s="9"/>
      <c r="H991" s="9"/>
      <c r="I991" s="9"/>
      <c r="J991" s="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</row>
    <row r="992" customFormat="false" ht="15.75" hidden="false" customHeight="true" outlineLevel="0" collapsed="false">
      <c r="A992" s="2"/>
      <c r="B992" s="2"/>
      <c r="C992" s="2"/>
      <c r="D992" s="2"/>
      <c r="E992" s="9"/>
      <c r="F992" s="9"/>
      <c r="G992" s="9"/>
      <c r="H992" s="9"/>
      <c r="I992" s="9"/>
      <c r="J992" s="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</row>
    <row r="993" customFormat="false" ht="15.75" hidden="false" customHeight="true" outlineLevel="0" collapsed="false">
      <c r="A993" s="2"/>
      <c r="B993" s="2"/>
      <c r="C993" s="2"/>
      <c r="D993" s="2"/>
      <c r="E993" s="9"/>
      <c r="F993" s="9"/>
      <c r="G993" s="9"/>
      <c r="H993" s="9"/>
      <c r="I993" s="9"/>
      <c r="J993" s="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</row>
    <row r="994" customFormat="false" ht="15.75" hidden="false" customHeight="true" outlineLevel="0" collapsed="false">
      <c r="A994" s="2"/>
      <c r="B994" s="2"/>
      <c r="C994" s="2"/>
      <c r="D994" s="2"/>
      <c r="E994" s="9"/>
      <c r="F994" s="9"/>
      <c r="G994" s="9"/>
      <c r="H994" s="9"/>
      <c r="I994" s="9"/>
      <c r="J994" s="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</row>
    <row r="995" customFormat="false" ht="15.75" hidden="false" customHeight="true" outlineLevel="0" collapsed="false">
      <c r="A995" s="2"/>
      <c r="B995" s="2"/>
      <c r="C995" s="2"/>
      <c r="D995" s="2"/>
      <c r="E995" s="9"/>
      <c r="F995" s="9"/>
      <c r="G995" s="9"/>
      <c r="H995" s="9"/>
      <c r="I995" s="9"/>
      <c r="J995" s="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</row>
    <row r="996" customFormat="false" ht="15.75" hidden="false" customHeight="true" outlineLevel="0" collapsed="false">
      <c r="A996" s="2"/>
      <c r="B996" s="2"/>
      <c r="C996" s="2"/>
      <c r="D996" s="2"/>
      <c r="E996" s="9"/>
      <c r="F996" s="9"/>
      <c r="G996" s="9"/>
      <c r="H996" s="9"/>
      <c r="I996" s="9"/>
      <c r="J996" s="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</row>
    <row r="997" customFormat="false" ht="15.75" hidden="false" customHeight="true" outlineLevel="0" collapsed="false">
      <c r="A997" s="2"/>
      <c r="B997" s="2"/>
      <c r="C997" s="2"/>
      <c r="D997" s="2"/>
      <c r="E997" s="9"/>
      <c r="F997" s="9"/>
      <c r="G997" s="9"/>
      <c r="H997" s="9"/>
      <c r="I997" s="9"/>
      <c r="J997" s="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</row>
    <row r="998" customFormat="false" ht="15.75" hidden="false" customHeight="true" outlineLevel="0" collapsed="false">
      <c r="A998" s="2"/>
      <c r="B998" s="2"/>
      <c r="C998" s="2"/>
      <c r="D998" s="2"/>
      <c r="E998" s="9"/>
      <c r="F998" s="9"/>
      <c r="G998" s="9"/>
      <c r="H998" s="9"/>
      <c r="I998" s="9"/>
      <c r="J998" s="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</row>
    <row r="999" customFormat="false" ht="15.75" hidden="false" customHeight="true" outlineLevel="0" collapsed="false">
      <c r="A999" s="2"/>
      <c r="B999" s="2"/>
      <c r="C999" s="2"/>
      <c r="D999" s="2"/>
      <c r="E999" s="9"/>
      <c r="F999" s="9"/>
      <c r="G999" s="9"/>
      <c r="H999" s="9"/>
      <c r="I999" s="9"/>
      <c r="J999" s="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</row>
    <row r="1000" customFormat="false" ht="15.75" hidden="false" customHeight="true" outlineLevel="0" collapsed="false">
      <c r="A1000" s="2"/>
      <c r="B1000" s="2"/>
      <c r="C1000" s="2"/>
      <c r="D1000" s="2"/>
      <c r="E1000" s="9"/>
      <c r="F1000" s="9"/>
      <c r="G1000" s="9"/>
      <c r="H1000" s="9"/>
      <c r="I1000" s="9"/>
      <c r="J1000" s="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25" defaultRowHeight="14.25" customHeight="false" zeroHeight="false" outlineLevelRow="0" outlineLevelCol="0"/>
  <sheetData>
    <row r="1" customFormat="false" ht="14.25" hidden="false" customHeight="false" outlineLevel="0" collapsed="false">
      <c r="A1" s="10" t="s">
        <v>65</v>
      </c>
      <c r="B1" s="10" t="s">
        <v>66</v>
      </c>
    </row>
    <row r="2" customFormat="false" ht="14.25" hidden="false" customHeight="false" outlineLevel="0" collapsed="false">
      <c r="A2" s="1" t="n">
        <v>1</v>
      </c>
      <c r="B2" s="1" t="n">
        <v>0.000637</v>
      </c>
    </row>
    <row r="3" customFormat="false" ht="14.25" hidden="false" customHeight="false" outlineLevel="0" collapsed="false">
      <c r="A3" s="1" t="n">
        <v>2</v>
      </c>
      <c r="B3" s="1" t="n">
        <v>0.00043</v>
      </c>
    </row>
    <row r="4" customFormat="false" ht="14.25" hidden="false" customHeight="false" outlineLevel="0" collapsed="false">
      <c r="A4" s="1" t="n">
        <v>3</v>
      </c>
      <c r="B4" s="1" t="n">
        <v>0.000357</v>
      </c>
    </row>
    <row r="5" customFormat="false" ht="14.25" hidden="false" customHeight="false" outlineLevel="0" collapsed="false">
      <c r="A5" s="1" t="n">
        <v>4</v>
      </c>
      <c r="B5" s="1" t="n">
        <v>0.000278</v>
      </c>
    </row>
    <row r="6" customFormat="false" ht="14.25" hidden="false" customHeight="false" outlineLevel="0" collapsed="false">
      <c r="A6" s="1" t="n">
        <v>5</v>
      </c>
      <c r="B6" s="1" t="n">
        <v>0.000255</v>
      </c>
    </row>
    <row r="7" customFormat="false" ht="14.25" hidden="false" customHeight="false" outlineLevel="0" collapsed="false">
      <c r="A7" s="1" t="n">
        <v>6</v>
      </c>
      <c r="B7" s="1" t="n">
        <v>0.000244</v>
      </c>
    </row>
    <row r="8" customFormat="false" ht="14.25" hidden="false" customHeight="false" outlineLevel="0" collapsed="false">
      <c r="A8" s="1" t="n">
        <v>7</v>
      </c>
      <c r="B8" s="1" t="n">
        <v>0.000234</v>
      </c>
    </row>
    <row r="9" customFormat="false" ht="14.25" hidden="false" customHeight="false" outlineLevel="0" collapsed="false">
      <c r="A9" s="1" t="n">
        <v>8</v>
      </c>
      <c r="B9" s="1" t="n">
        <v>0.000216</v>
      </c>
    </row>
    <row r="10" customFormat="false" ht="14.25" hidden="false" customHeight="false" outlineLevel="0" collapsed="false">
      <c r="A10" s="1" t="n">
        <v>9</v>
      </c>
      <c r="B10" s="1" t="n">
        <v>0.000209</v>
      </c>
    </row>
    <row r="11" customFormat="false" ht="14.25" hidden="false" customHeight="false" outlineLevel="0" collapsed="false">
      <c r="A11" s="1" t="n">
        <v>10</v>
      </c>
      <c r="B11" s="1" t="n">
        <v>0.000212</v>
      </c>
    </row>
    <row r="12" customFormat="false" ht="14.25" hidden="false" customHeight="false" outlineLevel="0" collapsed="false">
      <c r="A12" s="1" t="n">
        <v>11</v>
      </c>
      <c r="B12" s="1" t="n">
        <v>0.000223</v>
      </c>
    </row>
    <row r="13" customFormat="false" ht="14.25" hidden="false" customHeight="false" outlineLevel="0" collapsed="false">
      <c r="A13" s="1" t="n">
        <v>12</v>
      </c>
      <c r="B13" s="1" t="n">
        <v>0.000243</v>
      </c>
    </row>
    <row r="14" customFormat="false" ht="14.25" hidden="false" customHeight="false" outlineLevel="0" collapsed="false">
      <c r="A14" s="1" t="n">
        <v>13</v>
      </c>
      <c r="B14" s="1" t="n">
        <v>0.000275</v>
      </c>
    </row>
    <row r="15" customFormat="false" ht="14.25" hidden="false" customHeight="false" outlineLevel="0" collapsed="false">
      <c r="A15" s="1" t="n">
        <v>14</v>
      </c>
      <c r="B15" s="1" t="n">
        <v>0.00032</v>
      </c>
    </row>
    <row r="16" customFormat="false" ht="14.25" hidden="false" customHeight="false" outlineLevel="0" collapsed="false">
      <c r="A16" s="1" t="n">
        <v>15</v>
      </c>
      <c r="B16" s="1" t="n">
        <v>0.000371</v>
      </c>
    </row>
    <row r="17" customFormat="false" ht="14.25" hidden="false" customHeight="false" outlineLevel="0" collapsed="false">
      <c r="A17" s="1" t="n">
        <v>16</v>
      </c>
      <c r="B17" s="1" t="n">
        <v>0.000421</v>
      </c>
    </row>
    <row r="18" customFormat="false" ht="14.25" hidden="false" customHeight="false" outlineLevel="0" collapsed="false">
      <c r="A18" s="1" t="n">
        <v>17</v>
      </c>
      <c r="B18" s="1" t="n">
        <v>0.000463</v>
      </c>
    </row>
    <row r="19" customFormat="false" ht="14.25" hidden="false" customHeight="false" outlineLevel="0" collapsed="false">
      <c r="A19" s="1" t="n">
        <v>18</v>
      </c>
      <c r="B19" s="1" t="n">
        <v>0.000495</v>
      </c>
    </row>
    <row r="20" customFormat="false" ht="14.25" hidden="false" customHeight="false" outlineLevel="0" collapsed="false">
      <c r="A20" s="1" t="n">
        <v>19</v>
      </c>
      <c r="B20" s="1" t="n">
        <v>0.000521</v>
      </c>
    </row>
    <row r="21" customFormat="false" ht="14.25" hidden="false" customHeight="false" outlineLevel="0" collapsed="false">
      <c r="A21" s="1" t="n">
        <v>20</v>
      </c>
      <c r="B21" s="1" t="n">
        <v>0.000545</v>
      </c>
    </row>
    <row r="22" customFormat="false" ht="14.25" hidden="false" customHeight="false" outlineLevel="0" collapsed="false">
      <c r="A22" s="1" t="n">
        <v>21</v>
      </c>
      <c r="B22" s="1" t="n">
        <v>0.00057</v>
      </c>
    </row>
    <row r="23" customFormat="false" ht="14.25" hidden="false" customHeight="false" outlineLevel="0" collapsed="false">
      <c r="A23" s="1" t="n">
        <v>22</v>
      </c>
      <c r="B23" s="1" t="n">
        <v>0.000598</v>
      </c>
    </row>
    <row r="24" customFormat="false" ht="14.25" hidden="false" customHeight="false" outlineLevel="0" collapsed="false">
      <c r="A24" s="1" t="n">
        <v>23</v>
      </c>
      <c r="B24" s="1" t="n">
        <v>0.000633</v>
      </c>
    </row>
    <row r="25" customFormat="false" ht="14.25" hidden="false" customHeight="false" outlineLevel="0" collapsed="false">
      <c r="A25" s="1" t="n">
        <v>24</v>
      </c>
      <c r="B25" s="1" t="n">
        <v>0.000671</v>
      </c>
    </row>
    <row r="26" customFormat="false" ht="14.25" hidden="false" customHeight="false" outlineLevel="0" collapsed="false">
      <c r="A26" s="1" t="n">
        <v>25</v>
      </c>
      <c r="B26" s="1" t="n">
        <v>0.000711</v>
      </c>
    </row>
    <row r="27" customFormat="false" ht="14.25" hidden="false" customHeight="false" outlineLevel="0" collapsed="false">
      <c r="A27" s="1" t="n">
        <v>26</v>
      </c>
      <c r="B27" s="1" t="n">
        <v>0.000749</v>
      </c>
    </row>
    <row r="28" customFormat="false" ht="14.25" hidden="false" customHeight="false" outlineLevel="0" collapsed="false">
      <c r="A28" s="1" t="n">
        <v>27</v>
      </c>
      <c r="B28" s="1" t="n">
        <v>0.000782</v>
      </c>
    </row>
    <row r="29" customFormat="false" ht="14.25" hidden="false" customHeight="false" outlineLevel="0" collapsed="false">
      <c r="A29" s="1" t="n">
        <v>28</v>
      </c>
      <c r="B29" s="1" t="n">
        <v>0.000811</v>
      </c>
    </row>
    <row r="30" customFormat="false" ht="14.25" hidden="false" customHeight="false" outlineLevel="0" collapsed="false">
      <c r="A30" s="1" t="n">
        <v>29</v>
      </c>
      <c r="B30" s="1" t="n">
        <v>0.000838</v>
      </c>
    </row>
    <row r="31" customFormat="false" ht="14.25" hidden="false" customHeight="false" outlineLevel="0" collapsed="false">
      <c r="A31" s="1" t="n">
        <v>30</v>
      </c>
      <c r="B31" s="1" t="n">
        <v>0.000862</v>
      </c>
    </row>
    <row r="32" customFormat="false" ht="14.25" hidden="false" customHeight="false" outlineLevel="0" collapsed="false">
      <c r="A32" s="1" t="n">
        <v>31</v>
      </c>
      <c r="B32" s="1" t="n">
        <v>0.000883</v>
      </c>
    </row>
    <row r="33" customFormat="false" ht="14.25" hidden="false" customHeight="false" outlineLevel="0" collapsed="false">
      <c r="A33" s="1" t="n">
        <v>32</v>
      </c>
      <c r="B33" s="1" t="n">
        <v>0.000902</v>
      </c>
    </row>
    <row r="34" customFormat="false" ht="14.25" hidden="false" customHeight="false" outlineLevel="0" collapsed="false">
      <c r="A34" s="1" t="n">
        <v>33</v>
      </c>
      <c r="B34" s="1" t="n">
        <v>0.000912</v>
      </c>
    </row>
    <row r="35" customFormat="false" ht="14.25" hidden="false" customHeight="false" outlineLevel="0" collapsed="false">
      <c r="A35" s="1" t="n">
        <v>34</v>
      </c>
      <c r="B35" s="1" t="n">
        <v>0.000913</v>
      </c>
    </row>
    <row r="36" customFormat="false" ht="14.25" hidden="false" customHeight="false" outlineLevel="0" collapsed="false">
      <c r="A36" s="1" t="n">
        <v>35</v>
      </c>
      <c r="B36" s="1" t="n">
        <v>0.000915</v>
      </c>
    </row>
    <row r="37" customFormat="false" ht="14.25" hidden="false" customHeight="false" outlineLevel="0" collapsed="false">
      <c r="A37" s="1" t="n">
        <v>36</v>
      </c>
      <c r="B37" s="1" t="n">
        <v>0.000927</v>
      </c>
    </row>
    <row r="38" customFormat="false" ht="14.25" hidden="false" customHeight="false" outlineLevel="0" collapsed="false">
      <c r="A38" s="1" t="n">
        <v>37</v>
      </c>
      <c r="B38" s="1" t="n">
        <v>0.000958</v>
      </c>
    </row>
    <row r="39" customFormat="false" ht="14.25" hidden="false" customHeight="false" outlineLevel="0" collapsed="false">
      <c r="A39" s="1" t="n">
        <v>38</v>
      </c>
      <c r="B39" s="1" t="n">
        <v>0.00101</v>
      </c>
    </row>
    <row r="40" customFormat="false" ht="14.25" hidden="false" customHeight="false" outlineLevel="0" collapsed="false">
      <c r="A40" s="1" t="n">
        <v>39</v>
      </c>
      <c r="B40" s="1" t="n">
        <v>0.001075</v>
      </c>
    </row>
    <row r="41" customFormat="false" ht="14.25" hidden="false" customHeight="false" outlineLevel="0" collapsed="false">
      <c r="A41" s="1" t="n">
        <v>40</v>
      </c>
      <c r="B41" s="1" t="n">
        <v>0.001153</v>
      </c>
    </row>
    <row r="42" customFormat="false" ht="14.25" hidden="false" customHeight="false" outlineLevel="0" collapsed="false">
      <c r="A42" s="1" t="n">
        <v>41</v>
      </c>
      <c r="B42" s="1" t="n">
        <v>0.001243</v>
      </c>
    </row>
    <row r="43" customFormat="false" ht="14.25" hidden="false" customHeight="false" outlineLevel="0" collapsed="false">
      <c r="A43" s="1" t="n">
        <v>42</v>
      </c>
      <c r="B43" s="1" t="n">
        <v>0.001346</v>
      </c>
    </row>
    <row r="44" customFormat="false" ht="14.25" hidden="false" customHeight="false" outlineLevel="0" collapsed="false">
      <c r="A44" s="1" t="n">
        <v>43</v>
      </c>
      <c r="B44" s="1" t="n">
        <v>0.001454</v>
      </c>
    </row>
    <row r="45" customFormat="false" ht="14.25" hidden="false" customHeight="false" outlineLevel="0" collapsed="false">
      <c r="A45" s="1" t="n">
        <v>44</v>
      </c>
      <c r="B45" s="1" t="n">
        <v>0.001568</v>
      </c>
    </row>
    <row r="46" customFormat="false" ht="14.25" hidden="false" customHeight="false" outlineLevel="0" collapsed="false">
      <c r="A46" s="1" t="n">
        <v>45</v>
      </c>
      <c r="B46" s="1" t="n">
        <v>0.001697</v>
      </c>
    </row>
    <row r="47" customFormat="false" ht="14.25" hidden="false" customHeight="false" outlineLevel="0" collapsed="false">
      <c r="A47" s="1" t="n">
        <v>46</v>
      </c>
      <c r="B47" s="1" t="n">
        <v>0.001852</v>
      </c>
    </row>
    <row r="48" customFormat="false" ht="14.25" hidden="false" customHeight="false" outlineLevel="0" collapsed="false">
      <c r="A48" s="1" t="n">
        <v>47</v>
      </c>
      <c r="B48" s="1" t="n">
        <v>0.002042</v>
      </c>
    </row>
    <row r="49" customFormat="false" ht="14.25" hidden="false" customHeight="false" outlineLevel="0" collapsed="false">
      <c r="A49" s="1" t="n">
        <v>48</v>
      </c>
      <c r="B49" s="1" t="n">
        <v>0.00226</v>
      </c>
    </row>
    <row r="50" customFormat="false" ht="14.25" hidden="false" customHeight="false" outlineLevel="0" collapsed="false">
      <c r="A50" s="1" t="n">
        <v>49</v>
      </c>
      <c r="B50" s="1" t="n">
        <v>0.002501</v>
      </c>
    </row>
    <row r="51" customFormat="false" ht="14.25" hidden="false" customHeight="false" outlineLevel="0" collapsed="false">
      <c r="A51" s="1" t="n">
        <v>50</v>
      </c>
      <c r="B51" s="1" t="n">
        <v>0.002773</v>
      </c>
    </row>
    <row r="52" customFormat="false" ht="14.25" hidden="false" customHeight="false" outlineLevel="0" collapsed="false">
      <c r="A52" s="1" t="n">
        <v>51</v>
      </c>
      <c r="B52" s="1" t="n">
        <v>0.003088</v>
      </c>
    </row>
    <row r="53" customFormat="false" ht="14.25" hidden="false" customHeight="false" outlineLevel="0" collapsed="false">
      <c r="A53" s="1" t="n">
        <v>52</v>
      </c>
      <c r="B53" s="1" t="n">
        <v>0.003455</v>
      </c>
    </row>
    <row r="54" customFormat="false" ht="14.25" hidden="false" customHeight="false" outlineLevel="0" collapsed="false">
      <c r="A54" s="1" t="n">
        <v>53</v>
      </c>
      <c r="B54" s="1" t="n">
        <v>0.003854</v>
      </c>
    </row>
    <row r="55" customFormat="false" ht="14.25" hidden="false" customHeight="false" outlineLevel="0" collapsed="false">
      <c r="A55" s="1" t="n">
        <v>54</v>
      </c>
      <c r="B55" s="1" t="n">
        <v>0.004278</v>
      </c>
    </row>
    <row r="56" customFormat="false" ht="14.25" hidden="false" customHeight="false" outlineLevel="0" collapsed="false">
      <c r="A56" s="1" t="n">
        <v>55</v>
      </c>
      <c r="B56" s="1" t="n">
        <v>0.004758</v>
      </c>
    </row>
    <row r="57" customFormat="false" ht="14.25" hidden="false" customHeight="false" outlineLevel="0" collapsed="false">
      <c r="A57" s="1" t="n">
        <v>56</v>
      </c>
      <c r="B57" s="1" t="n">
        <v>0.005322</v>
      </c>
    </row>
    <row r="58" customFormat="false" ht="14.25" hidden="false" customHeight="false" outlineLevel="0" collapsed="false">
      <c r="A58" s="1" t="n">
        <v>57</v>
      </c>
      <c r="B58" s="1" t="n">
        <v>0.006001</v>
      </c>
    </row>
    <row r="59" customFormat="false" ht="14.25" hidden="false" customHeight="false" outlineLevel="0" collapsed="false">
      <c r="A59" s="1" t="n">
        <v>58</v>
      </c>
      <c r="B59" s="1" t="n">
        <v>0.006774</v>
      </c>
    </row>
    <row r="60" customFormat="false" ht="14.25" hidden="false" customHeight="false" outlineLevel="0" collapsed="false">
      <c r="A60" s="1" t="n">
        <v>59</v>
      </c>
      <c r="B60" s="1" t="n">
        <v>0.007623</v>
      </c>
    </row>
    <row r="61" customFormat="false" ht="14.25" hidden="false" customHeight="false" outlineLevel="0" collapsed="false">
      <c r="A61" s="1" t="n">
        <v>60</v>
      </c>
      <c r="B61" s="1" t="n">
        <v>0.008576</v>
      </c>
    </row>
    <row r="62" customFormat="false" ht="14.25" hidden="false" customHeight="false" outlineLevel="0" collapsed="false">
      <c r="A62" s="1" t="n">
        <v>61</v>
      </c>
      <c r="B62" s="1" t="n">
        <v>0.009663</v>
      </c>
    </row>
    <row r="63" customFormat="false" ht="14.25" hidden="false" customHeight="false" outlineLevel="0" collapsed="false">
      <c r="A63" s="1" t="n">
        <v>62</v>
      </c>
      <c r="B63" s="1" t="n">
        <v>0.010911</v>
      </c>
    </row>
    <row r="64" customFormat="false" ht="14.25" hidden="false" customHeight="false" outlineLevel="0" collapsed="false">
      <c r="A64" s="1" t="n">
        <v>63</v>
      </c>
      <c r="B64" s="1" t="n">
        <v>0.012335</v>
      </c>
    </row>
    <row r="65" customFormat="false" ht="14.25" hidden="false" customHeight="false" outlineLevel="0" collapsed="false">
      <c r="A65" s="1" t="n">
        <v>64</v>
      </c>
      <c r="B65" s="1" t="n">
        <v>0.013914</v>
      </c>
    </row>
    <row r="66" customFormat="false" ht="14.25" hidden="false" customHeight="false" outlineLevel="0" collapsed="false">
      <c r="A66" s="1" t="n">
        <v>65</v>
      </c>
      <c r="B66" s="1" t="n">
        <v>0.015629</v>
      </c>
    </row>
    <row r="67" customFormat="false" ht="14.25" hidden="false" customHeight="false" outlineLevel="0" collapsed="false">
      <c r="A67" s="1" t="n">
        <v>66</v>
      </c>
      <c r="B67" s="1" t="n">
        <v>0.017462</v>
      </c>
    </row>
    <row r="68" customFormat="false" ht="14.25" hidden="false" customHeight="false" outlineLevel="0" collapsed="false">
      <c r="A68" s="1" t="n">
        <v>67</v>
      </c>
      <c r="B68" s="1" t="n">
        <v>0.019391</v>
      </c>
    </row>
    <row r="69" customFormat="false" ht="14.25" hidden="false" customHeight="false" outlineLevel="0" collapsed="false">
      <c r="A69" s="1" t="n">
        <v>68</v>
      </c>
      <c r="B69" s="1" t="n">
        <v>0.021354</v>
      </c>
    </row>
    <row r="70" customFormat="false" ht="14.25" hidden="false" customHeight="false" outlineLevel="0" collapsed="false">
      <c r="A70" s="1" t="n">
        <v>69</v>
      </c>
      <c r="B70" s="1" t="n">
        <v>0.023364</v>
      </c>
    </row>
    <row r="71" customFormat="false" ht="14.25" hidden="false" customHeight="false" outlineLevel="0" collapsed="false">
      <c r="A71" s="1" t="n">
        <v>70</v>
      </c>
      <c r="B71" s="1" t="n">
        <v>0.025516</v>
      </c>
    </row>
    <row r="72" customFormat="false" ht="14.25" hidden="false" customHeight="false" outlineLevel="0" collapsed="false">
      <c r="A72" s="1" t="n">
        <v>71</v>
      </c>
      <c r="B72" s="1" t="n">
        <v>0.027905</v>
      </c>
    </row>
    <row r="73" customFormat="false" ht="14.25" hidden="false" customHeight="false" outlineLevel="0" collapsed="false">
      <c r="A73" s="1" t="n">
        <v>72</v>
      </c>
      <c r="B73" s="1" t="n">
        <v>0.030625</v>
      </c>
    </row>
    <row r="74" customFormat="false" ht="14.25" hidden="false" customHeight="false" outlineLevel="0" collapsed="false">
      <c r="A74" s="1" t="n">
        <v>73</v>
      </c>
      <c r="B74" s="1" t="n">
        <v>0.033549</v>
      </c>
    </row>
    <row r="75" customFormat="false" ht="14.25" hidden="false" customHeight="false" outlineLevel="0" collapsed="false">
      <c r="A75" s="1" t="n">
        <v>74</v>
      </c>
      <c r="B75" s="1" t="n">
        <v>0.036614</v>
      </c>
    </row>
    <row r="76" customFormat="false" ht="14.25" hidden="false" customHeight="false" outlineLevel="0" collapsed="false">
      <c r="A76" s="1" t="n">
        <v>75</v>
      </c>
      <c r="B76" s="1" t="n">
        <v>0.040012</v>
      </c>
    </row>
    <row r="77" customFormat="false" ht="14.25" hidden="false" customHeight="false" outlineLevel="0" collapsed="false">
      <c r="A77" s="1" t="n">
        <v>76</v>
      </c>
      <c r="B77" s="1" t="n">
        <v>0.043933</v>
      </c>
    </row>
    <row r="78" customFormat="false" ht="14.25" hidden="false" customHeight="false" outlineLevel="0" collapsed="false">
      <c r="A78" s="1" t="n">
        <v>77</v>
      </c>
      <c r="B78" s="1" t="n">
        <v>0.04857</v>
      </c>
    </row>
    <row r="79" customFormat="false" ht="14.25" hidden="false" customHeight="false" outlineLevel="0" collapsed="false">
      <c r="A79" s="1" t="n">
        <v>78</v>
      </c>
      <c r="B79" s="1" t="n">
        <v>0.053991</v>
      </c>
    </row>
    <row r="80" customFormat="false" ht="14.25" hidden="false" customHeight="false" outlineLevel="0" collapsed="false">
      <c r="A80" s="1" t="n">
        <v>79</v>
      </c>
      <c r="B80" s="1" t="n">
        <v>0.060066</v>
      </c>
    </row>
    <row r="81" customFormat="false" ht="14.25" hidden="false" customHeight="false" outlineLevel="0" collapsed="false">
      <c r="A81" s="1" t="n">
        <v>80</v>
      </c>
      <c r="B81" s="1" t="n">
        <v>0.066696</v>
      </c>
    </row>
    <row r="82" customFormat="false" ht="14.25" hidden="false" customHeight="false" outlineLevel="0" collapsed="false">
      <c r="A82" s="1" t="n">
        <v>81</v>
      </c>
      <c r="B82" s="1" t="n">
        <v>0.07378</v>
      </c>
    </row>
    <row r="83" customFormat="false" ht="14.25" hidden="false" customHeight="false" outlineLevel="0" collapsed="false">
      <c r="A83" s="1" t="n">
        <v>82</v>
      </c>
      <c r="B83" s="1" t="n">
        <v>0.081217</v>
      </c>
    </row>
    <row r="84" customFormat="false" ht="14.25" hidden="false" customHeight="false" outlineLevel="0" collapsed="false">
      <c r="A84" s="1" t="n">
        <v>83</v>
      </c>
      <c r="B84" s="1" t="n">
        <v>0.088721</v>
      </c>
    </row>
    <row r="85" customFormat="false" ht="14.25" hidden="false" customHeight="false" outlineLevel="0" collapsed="false">
      <c r="A85" s="1" t="n">
        <v>84</v>
      </c>
      <c r="B85" s="1" t="n">
        <v>0.096358</v>
      </c>
    </row>
    <row r="86" customFormat="false" ht="14.25" hidden="false" customHeight="false" outlineLevel="0" collapsed="false">
      <c r="A86" s="1" t="n">
        <v>85</v>
      </c>
      <c r="B86" s="1" t="n">
        <v>0.104559</v>
      </c>
    </row>
    <row r="87" customFormat="false" ht="14.25" hidden="false" customHeight="false" outlineLevel="0" collapsed="false">
      <c r="A87" s="1" t="n">
        <v>86</v>
      </c>
      <c r="B87" s="1" t="n">
        <v>0.113755</v>
      </c>
    </row>
    <row r="88" customFormat="false" ht="14.25" hidden="false" customHeight="false" outlineLevel="0" collapsed="false">
      <c r="A88" s="1" t="n">
        <v>87</v>
      </c>
      <c r="B88" s="1" t="n">
        <v>0.124377</v>
      </c>
    </row>
    <row r="89" customFormat="false" ht="14.25" hidden="false" customHeight="false" outlineLevel="0" collapsed="false">
      <c r="A89" s="1" t="n">
        <v>88</v>
      </c>
      <c r="B89" s="1" t="n">
        <v>0.136537</v>
      </c>
    </row>
    <row r="90" customFormat="false" ht="14.25" hidden="false" customHeight="false" outlineLevel="0" collapsed="false">
      <c r="A90" s="1" t="n">
        <v>89</v>
      </c>
      <c r="B90" s="1" t="n">
        <v>0.149949</v>
      </c>
    </row>
    <row r="91" customFormat="false" ht="14.25" hidden="false" customHeight="false" outlineLevel="0" collapsed="false">
      <c r="A91" s="1" t="n">
        <v>90</v>
      </c>
      <c r="B91" s="1" t="n">
        <v>0.164442</v>
      </c>
    </row>
    <row r="92" customFormat="false" ht="14.25" hidden="false" customHeight="false" outlineLevel="0" collapsed="false">
      <c r="A92" s="1" t="n">
        <v>91</v>
      </c>
      <c r="B92" s="1" t="n">
        <v>0.179849</v>
      </c>
    </row>
    <row r="93" customFormat="false" ht="14.25" hidden="false" customHeight="false" outlineLevel="0" collapsed="false">
      <c r="A93" s="1" t="n">
        <v>92</v>
      </c>
      <c r="B93" s="1" t="n">
        <v>0.196001</v>
      </c>
    </row>
    <row r="94" customFormat="false" ht="14.25" hidden="false" customHeight="false" outlineLevel="0" collapsed="false">
      <c r="A94" s="1" t="n">
        <v>93</v>
      </c>
      <c r="B94" s="1" t="n">
        <v>0.213325</v>
      </c>
    </row>
    <row r="95" customFormat="false" ht="14.25" hidden="false" customHeight="false" outlineLevel="0" collapsed="false">
      <c r="A95" s="1" t="n">
        <v>94</v>
      </c>
      <c r="B95" s="1" t="n">
        <v>0.231936</v>
      </c>
    </row>
    <row r="96" customFormat="false" ht="14.25" hidden="false" customHeight="false" outlineLevel="0" collapsed="false">
      <c r="A96" s="1" t="n">
        <v>95</v>
      </c>
      <c r="B96" s="1" t="n">
        <v>0.251189</v>
      </c>
    </row>
    <row r="97" customFormat="false" ht="14.25" hidden="false" customHeight="false" outlineLevel="0" collapsed="false">
      <c r="A97" s="1" t="n">
        <v>96</v>
      </c>
      <c r="B97" s="1" t="n">
        <v>0.270441</v>
      </c>
    </row>
    <row r="98" customFormat="false" ht="14.25" hidden="false" customHeight="false" outlineLevel="0" collapsed="false">
      <c r="A98" s="1" t="n">
        <v>97</v>
      </c>
      <c r="B98" s="1" t="n">
        <v>0.289048</v>
      </c>
    </row>
    <row r="99" customFormat="false" ht="14.25" hidden="false" customHeight="false" outlineLevel="0" collapsed="false">
      <c r="A99" s="1" t="n">
        <v>98</v>
      </c>
      <c r="B99" s="1" t="n">
        <v>0.30675</v>
      </c>
    </row>
    <row r="100" customFormat="false" ht="14.25" hidden="false" customHeight="false" outlineLevel="0" collapsed="false">
      <c r="A100" s="1" t="n">
        <v>99</v>
      </c>
      <c r="B100" s="1" t="n">
        <v>0.323976</v>
      </c>
    </row>
    <row r="101" customFormat="false" ht="14.25" hidden="false" customHeight="false" outlineLevel="0" collapsed="false">
      <c r="A101" s="1" t="n">
        <v>100</v>
      </c>
      <c r="B101" s="1" t="n">
        <v>0.341116</v>
      </c>
    </row>
    <row r="102" customFormat="false" ht="14.25" hidden="false" customHeight="false" outlineLevel="0" collapsed="false">
      <c r="A102" s="1" t="n">
        <v>101</v>
      </c>
      <c r="B102" s="1" t="n">
        <v>0.35856</v>
      </c>
    </row>
    <row r="103" customFormat="false" ht="14.25" hidden="false" customHeight="false" outlineLevel="0" collapsed="false">
      <c r="A103" s="1" t="n">
        <v>102</v>
      </c>
      <c r="B103" s="1" t="n">
        <v>0.376699</v>
      </c>
    </row>
    <row r="104" customFormat="false" ht="14.25" hidden="false" customHeight="false" outlineLevel="0" collapsed="false">
      <c r="A104" s="1" t="n">
        <v>103</v>
      </c>
      <c r="B104" s="1" t="n">
        <v>0.396884</v>
      </c>
    </row>
    <row r="105" customFormat="false" ht="14.25" hidden="false" customHeight="false" outlineLevel="0" collapsed="false">
      <c r="A105" s="1" t="n">
        <v>104</v>
      </c>
      <c r="B105" s="1" t="n">
        <v>0.418855</v>
      </c>
    </row>
    <row r="106" customFormat="false" ht="14.25" hidden="false" customHeight="false" outlineLevel="0" collapsed="false">
      <c r="A106" s="1" t="n">
        <v>105</v>
      </c>
      <c r="B106" s="1" t="n">
        <v>0.440585</v>
      </c>
    </row>
    <row r="107" customFormat="false" ht="14.25" hidden="false" customHeight="false" outlineLevel="0" collapsed="false">
      <c r="A107" s="1" t="n">
        <v>106</v>
      </c>
      <c r="B107" s="1" t="n">
        <v>0.460043</v>
      </c>
    </row>
    <row r="108" customFormat="false" ht="14.25" hidden="false" customHeight="false" outlineLevel="0" collapsed="false">
      <c r="A108" s="1" t="n">
        <v>107</v>
      </c>
      <c r="B108" s="1" t="n">
        <v>0.4752</v>
      </c>
    </row>
    <row r="109" customFormat="false" ht="14.25" hidden="false" customHeight="false" outlineLevel="0" collapsed="false">
      <c r="A109" s="1" t="n">
        <v>108</v>
      </c>
      <c r="B109" s="1" t="n">
        <v>0.48567</v>
      </c>
    </row>
    <row r="110" customFormat="false" ht="14.25" hidden="false" customHeight="false" outlineLevel="0" collapsed="false">
      <c r="A110" s="1" t="n">
        <v>109</v>
      </c>
      <c r="B110" s="1" t="n">
        <v>0.492807</v>
      </c>
    </row>
    <row r="111" customFormat="false" ht="14.25" hidden="false" customHeight="false" outlineLevel="0" collapsed="false">
      <c r="A111" s="1" t="n">
        <v>110</v>
      </c>
      <c r="B111" s="1" t="n">
        <v>0.497189</v>
      </c>
    </row>
    <row r="112" customFormat="false" ht="14.25" hidden="false" customHeight="false" outlineLevel="0" collapsed="false">
      <c r="A112" s="1" t="n">
        <v>111</v>
      </c>
      <c r="B112" s="1" t="n">
        <v>0.499394</v>
      </c>
    </row>
    <row r="113" customFormat="false" ht="14.25" hidden="false" customHeight="false" outlineLevel="0" collapsed="false">
      <c r="A113" s="1" t="n">
        <v>112</v>
      </c>
      <c r="B113" s="1" t="n">
        <v>0.5</v>
      </c>
    </row>
    <row r="114" customFormat="false" ht="14.25" hidden="false" customHeight="false" outlineLevel="0" collapsed="false">
      <c r="A114" s="1" t="n">
        <v>113</v>
      </c>
      <c r="B114" s="1" t="n">
        <v>0.5</v>
      </c>
    </row>
    <row r="115" customFormat="false" ht="14.25" hidden="false" customHeight="false" outlineLevel="0" collapsed="false">
      <c r="A115" s="1" t="n">
        <v>114</v>
      </c>
      <c r="B115" s="1" t="n">
        <v>0.5</v>
      </c>
    </row>
    <row r="116" customFormat="false" ht="14.25" hidden="false" customHeight="false" outlineLevel="0" collapsed="false">
      <c r="A116" s="1" t="n">
        <v>115</v>
      </c>
      <c r="B116" s="1" t="n">
        <v>0.5</v>
      </c>
    </row>
    <row r="117" customFormat="false" ht="14.25" hidden="false" customHeight="false" outlineLevel="0" collapsed="false">
      <c r="A117" s="1" t="n">
        <v>116</v>
      </c>
      <c r="B117" s="1" t="n">
        <v>0.5</v>
      </c>
    </row>
    <row r="118" customFormat="false" ht="14.25" hidden="false" customHeight="false" outlineLevel="0" collapsed="false">
      <c r="A118" s="1" t="n">
        <v>117</v>
      </c>
      <c r="B118" s="1" t="n">
        <v>0.5</v>
      </c>
    </row>
    <row r="119" customFormat="false" ht="14.25" hidden="false" customHeight="false" outlineLevel="0" collapsed="false">
      <c r="A119" s="1" t="n">
        <v>118</v>
      </c>
      <c r="B119" s="1" t="n">
        <v>0.5</v>
      </c>
    </row>
    <row r="120" customFormat="false" ht="14.25" hidden="false" customHeight="false" outlineLevel="0" collapsed="false">
      <c r="A120" s="1" t="n">
        <v>119</v>
      </c>
      <c r="B120" s="1" t="n">
        <v>0.5</v>
      </c>
    </row>
    <row r="121" customFormat="false" ht="14.25" hidden="false" customHeight="false" outlineLevel="0" collapsed="false">
      <c r="A121" s="1" t="n">
        <v>120</v>
      </c>
      <c r="B121" s="1" t="n">
        <v>1000000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2025-08-27T13:11:34Z</dcterms:created>
  <dc:creator>João Pedro Stênio</dc:creator>
  <dc:description/>
  <dc:language>pt-BR</dc:language>
  <cp:lastModifiedBy>João Pedro Stênio</cp:lastModifiedBy>
  <dcterms:modified xsi:type="dcterms:W3CDTF">2026-03-10T21:34:03Z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